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laprad-teamgantt/Desktop/"/>
    </mc:Choice>
  </mc:AlternateContent>
  <xr:revisionPtr revIDLastSave="0" documentId="13_ncr:1_{CF4DC021-E2F1-3048-9A99-5FAB6882593C}" xr6:coauthVersionLast="47" xr6:coauthVersionMax="47" xr10:uidLastSave="{00000000-0000-0000-0000-000000000000}"/>
  <bookViews>
    <workbookView xWindow="380" yWindow="500" windowWidth="28040" windowHeight="16500" activeTab="3" xr2:uid="{83A2C770-CBD8-D34B-BFC7-CF13CC8C4724}"/>
  </bookViews>
  <sheets>
    <sheet name="Instructions" sheetId="5" r:id="rId1"/>
    <sheet name="Dashboard" sheetId="4" r:id="rId2"/>
    <sheet name="Task Table" sheetId="1" r:id="rId3"/>
    <sheet name="Gantt Chart" sheetId="2" r:id="rId4"/>
  </sheets>
  <definedNames>
    <definedName name="_xlnm.Print_Area" localSheetId="0">Instructions!$A$2:$A$32</definedName>
    <definedName name="_xlnm.Print_Area" localSheetId="2">'Task Table'!$A$1:$K$12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5" i="1"/>
  <c r="F2" i="1"/>
  <c r="C8" i="4" l="1" a="1"/>
  <c r="C8" i="4" s="1"/>
  <c r="A8" i="4"/>
  <c r="C5" i="4"/>
  <c r="A5" i="4"/>
  <c r="B8" i="4"/>
  <c r="B5" i="4"/>
  <c r="E7" i="1"/>
  <c r="G7" i="1" s="1"/>
  <c r="H7" i="1" s="1"/>
  <c r="E11" i="1"/>
  <c r="G11" i="1" s="1"/>
  <c r="H11" i="1" s="1"/>
  <c r="E12" i="1"/>
  <c r="G12" i="1" s="1"/>
  <c r="H12" i="1" s="1"/>
  <c r="E10" i="1"/>
  <c r="G10" i="1" s="1"/>
  <c r="H10" i="1" s="1"/>
  <c r="E9" i="1"/>
  <c r="G9" i="1" s="1"/>
  <c r="H9" i="1" s="1"/>
  <c r="E8" i="1"/>
  <c r="G8" i="1" s="1"/>
  <c r="H8" i="1" s="1"/>
  <c r="E6" i="1"/>
  <c r="G6" i="1" s="1"/>
  <c r="H6" i="1" s="1"/>
  <c r="E5" i="1"/>
  <c r="E4" i="1"/>
  <c r="E3" i="1"/>
  <c r="G3" i="1" s="1"/>
  <c r="E2" i="1"/>
  <c r="G2" i="1" s="1"/>
  <c r="H2" i="1" l="1"/>
  <c r="G5" i="1"/>
  <c r="H5" i="1" s="1"/>
  <c r="G4" i="1"/>
  <c r="H4" i="1" s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4" authorId="0" shapeId="0" xr:uid="{EAE176AB-1372-FC40-9035-816BAF4BFE51}">
      <text>
        <r>
          <rPr>
            <b/>
            <sz val="10"/>
            <color rgb="FF000000"/>
            <rFont val="Tahoma"/>
            <family val="2"/>
          </rPr>
          <t>Formula: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=MAX(EndDateColumn) - MIN(StartDateColumn) + 1 (total calendar days across the project)</t>
        </r>
      </text>
    </comment>
    <comment ref="B4" authorId="0" shapeId="0" xr:uid="{132971D4-CF08-CE49-BF91-6BD05C4428FC}">
      <text>
        <r>
          <rPr>
            <b/>
            <sz val="10"/>
            <color rgb="FF000000"/>
            <rFont val="Tahoma"/>
            <family val="2"/>
          </rPr>
          <t>Formula: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=AVERAGE(SelectedTaskPercentCompleteCells) (average % complete across </t>
        </r>
        <r>
          <rPr>
            <b/>
            <sz val="10"/>
            <color rgb="FF000000"/>
            <rFont val="Aptos Narrow"/>
            <scheme val="minor"/>
          </rPr>
          <t>task rows only</t>
        </r>
        <r>
          <rPr>
            <sz val="10"/>
            <color rgb="FF000000"/>
            <rFont val="Aptos Narrow"/>
            <scheme val="minor"/>
          </rPr>
          <t>; group rows are excluded)</t>
        </r>
      </text>
    </comment>
    <comment ref="C4" authorId="0" shapeId="0" xr:uid="{2D3FF947-4230-3549-B853-6C9DC636CB75}">
      <text>
        <r>
          <rPr>
            <b/>
            <sz val="10"/>
            <color rgb="FF000000"/>
            <rFont val="Tahoma"/>
            <family val="2"/>
          </rPr>
          <t>Formula: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=MAX(0, MAX(EndDateColumn) - TODAY()) (calendar days left until project end; shows 0 if overdue)
</t>
        </r>
      </text>
    </comment>
    <comment ref="A7" authorId="0" shapeId="0" xr:uid="{745B3F6A-A466-4340-8282-4551AB4346F9}">
      <text>
        <r>
          <rPr>
            <b/>
            <sz val="10"/>
            <color rgb="FF000000"/>
            <rFont val="Tahoma"/>
            <family val="2"/>
          </rPr>
          <t>Formula: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=COUNTIF(PercentCompleteColumn,1) (counts tasks at 100% complete)</t>
        </r>
      </text>
    </comment>
    <comment ref="B7" authorId="0" shapeId="0" xr:uid="{0279EE8C-7D2C-5748-B0CF-186094C0208A}">
      <text>
        <r>
          <rPr>
            <b/>
            <sz val="10"/>
            <color rgb="FF000000"/>
            <rFont val="Tahoma"/>
            <family val="2"/>
          </rPr>
          <t>Formula: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=COUNTIFS(PercentCompleteColumn,"&gt;0",PercentCompleteColumn,"&lt;1") (counts tasks with partial progress)</t>
        </r>
      </text>
    </comment>
    <comment ref="C7" authorId="0" shapeId="0" xr:uid="{56BB3762-12CA-4D41-9D19-BB023422B9CC}">
      <text>
        <r>
          <rPr>
            <b/>
            <sz val="10"/>
            <color rgb="FF000000"/>
            <rFont val="Tahoma"/>
            <family val="2"/>
          </rPr>
          <t>Formula: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scheme val="minor"/>
          </rPr>
          <t>=SUMPRODUCT(((%CompleteRange=0)+(%CompleteRange="")&gt;0)*(ISNUMBER(SEARCH(".",WBSRange&amp;"")))) (counts tasks at 0% complete or blank; excludes group rows by only counting WBS numbers with decimals)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1" authorId="0" shapeId="0" xr:uid="{34A37FA0-2AC8-C341-B7C1-C51029ED38A6}">
      <text>
        <r>
          <rPr>
            <b/>
            <sz val="10"/>
            <color rgb="FF000000"/>
            <rFont val="Aptos Narrow"/>
            <scheme val="minor"/>
          </rPr>
          <t xml:space="preserve">Formula: 
</t>
        </r>
        <r>
          <rPr>
            <sz val="10"/>
            <color rgb="FF000000"/>
            <rFont val="Aptos Narrow"/>
            <scheme val="minor"/>
          </rPr>
          <t>=End Date - Start Date + 1 (counts both start and end dates)</t>
        </r>
      </text>
    </comment>
    <comment ref="F1" authorId="0" shapeId="0" xr:uid="{7AB39D1B-F48A-204C-B86E-6D7B0DFE5F70}">
      <text>
        <r>
          <rPr>
            <b/>
            <sz val="10"/>
            <color rgb="FF000000"/>
            <rFont val="Aptos Narrow"/>
            <scheme val="minor"/>
          </rPr>
          <t>Note:</t>
        </r>
        <r>
          <rPr>
            <sz val="10"/>
            <color rgb="FF000000"/>
            <rFont val="Aptos Narrow"/>
            <scheme val="minor"/>
          </rPr>
          <t xml:space="preserve">
For group rows, either leave at 0% (simpler, for structure only) or use a weighted average formula to calculate progress across all tasks in the group.
</t>
        </r>
        <r>
          <rPr>
            <sz val="10"/>
            <color rgb="FF000000"/>
            <rFont val="Aptos Narrow"/>
            <scheme val="minor"/>
          </rPr>
          <t xml:space="preserve">
</t>
        </r>
        <r>
          <rPr>
            <b/>
            <sz val="10"/>
            <color rgb="FF000000"/>
            <rFont val="Aptos Narrow"/>
            <scheme val="minor"/>
          </rPr>
          <t xml:space="preserve">Weighted average formula:
</t>
        </r>
        <r>
          <rPr>
            <sz val="10"/>
            <color rgb="FF000000"/>
            <rFont val="Aptos Narrow"/>
            <scheme val="minor"/>
          </rPr>
          <t>=SUMPRODUCT(DurationRange, PercentCompleteRange) / SUM(DurationRange)</t>
        </r>
        <r>
          <rPr>
            <sz val="10"/>
            <color rgb="FF000000"/>
            <rFont val="Aptos Narrow"/>
            <scheme val="minor"/>
          </rPr>
          <t xml:space="preserve">
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  <comment ref="G1" authorId="0" shapeId="0" xr:uid="{AB941040-0C22-6548-BEE2-7C8CBD5FD60F}">
      <text>
        <r>
          <rPr>
            <b/>
            <sz val="10"/>
            <color rgb="FF000000"/>
            <rFont val="Tahoma"/>
            <family val="2"/>
          </rPr>
          <t xml:space="preserve">Formula:
</t>
        </r>
        <r>
          <rPr>
            <sz val="10"/>
            <color rgb="FF000000"/>
            <rFont val="Aptos Narrow"/>
            <scheme val="minor"/>
          </rPr>
          <t>=Duration * %Complete (portion of task finished)</t>
        </r>
      </text>
    </comment>
    <comment ref="H1" authorId="0" shapeId="0" xr:uid="{9C209C82-DDA7-F641-9FCD-CB2F83148F35}">
      <text>
        <r>
          <rPr>
            <b/>
            <sz val="10"/>
            <color rgb="FF000000"/>
            <rFont val="Tahoma"/>
            <family val="2"/>
          </rPr>
          <t xml:space="preserve">Formula:
</t>
        </r>
        <r>
          <rPr>
            <sz val="10"/>
            <color rgb="FF000000"/>
            <rFont val="Aptos Narrow"/>
            <scheme val="minor"/>
          </rPr>
          <t>=Duration - Completed (days still left to finish)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<sst xmlns="http://schemas.openxmlformats.org/spreadsheetml/2006/main" count="75" uniqueCount="67">
  <si>
    <t>Task Name</t>
  </si>
  <si>
    <t>Start Date</t>
  </si>
  <si>
    <t>End Date</t>
  </si>
  <si>
    <t>Duration</t>
  </si>
  <si>
    <t>% Complete</t>
  </si>
  <si>
    <t>Predecessor</t>
  </si>
  <si>
    <t>Assigned To</t>
  </si>
  <si>
    <t>Priority</t>
  </si>
  <si>
    <t>Planning Phase</t>
  </si>
  <si>
    <t>Define project goals</t>
  </si>
  <si>
    <t>Emily</t>
  </si>
  <si>
    <t>High</t>
  </si>
  <si>
    <t>Gather requirements</t>
  </si>
  <si>
    <t>Medium</t>
  </si>
  <si>
    <t>Design Phase</t>
  </si>
  <si>
    <t>Create wireframes</t>
  </si>
  <si>
    <t>Kwame</t>
  </si>
  <si>
    <t>Design mockups</t>
  </si>
  <si>
    <t>Sarah</t>
  </si>
  <si>
    <t>Milestone: Design complete</t>
  </si>
  <si>
    <t>—</t>
  </si>
  <si>
    <t>Development Phase</t>
  </si>
  <si>
    <t>Build website pages</t>
  </si>
  <si>
    <t>Charles</t>
  </si>
  <si>
    <t>Integrate CMS</t>
  </si>
  <si>
    <t>Priya</t>
  </si>
  <si>
    <t>Milestone: Launch</t>
  </si>
  <si>
    <t>Completed</t>
  </si>
  <si>
    <t>Remaining</t>
  </si>
  <si>
    <t>WBS #</t>
  </si>
  <si>
    <t>Project owner: Emily Sanchez</t>
  </si>
  <si>
    <t>Tasks in progress</t>
  </si>
  <si>
    <t>Project: Acme Web Redesign</t>
  </si>
  <si>
    <t>Total project duration</t>
  </si>
  <si>
    <t>Overall completion</t>
  </si>
  <si>
    <t>Days remaining</t>
  </si>
  <si>
    <t>Tasks not started</t>
  </si>
  <si>
    <t>Tasks complete</t>
  </si>
  <si>
    <t>How to Use This Gantt Chart Template</t>
  </si>
  <si>
    <t>📝 Task Table (enter your project details here)</t>
  </si>
  <si>
    <t>Columns with formulas update automatically:</t>
  </si>
  <si>
    <t>📊 Gantt Chart (visual project timeline)</t>
  </si>
  <si>
    <t>Task bars display start and end dates; progress shows inside the bars.</t>
  </si>
  <si>
    <t>Keep phase bars neutral (e.g., gray) and milestones gold for clarity.</t>
  </si>
  <si>
    <t>📈 Dashboard (project snapshot)</t>
  </si>
  <si>
    <t>Metrics update automatically based on the Task Table.</t>
  </si>
  <si>
    <t>“Not started” excludes group rows for accuracy.</t>
  </si>
  <si>
    <t>💡 Tips</t>
  </si>
  <si>
    <t>✅ Total project duration</t>
  </si>
  <si>
    <t>✅ Overall % completion</t>
  </si>
  <si>
    <t>✅ Days remaining</t>
  </si>
  <si>
    <t>✅ Task breakdown (not started, in progress, complete)</t>
  </si>
  <si>
    <t>2. Reset the print area to include your full chart.</t>
  </si>
  <si>
    <t xml:space="preserve"> https://www.teamgantt.com/free-gantt-chart-excel-template</t>
  </si>
  <si>
    <t>If the Gantt chart doesn’t print fully:</t>
  </si>
  <si>
    <r>
      <t xml:space="preserve">Add each task, phase, or milestone in the </t>
    </r>
    <r>
      <rPr>
        <b/>
        <sz val="13"/>
        <color theme="1"/>
        <rFont val="Segoe UI"/>
      </rPr>
      <t>Task Table</t>
    </r>
    <r>
      <rPr>
        <sz val="13"/>
        <color theme="1"/>
        <rFont val="Segoe UI"/>
      </rPr>
      <t xml:space="preserve"> tab.</t>
    </r>
  </si>
  <si>
    <r>
      <t xml:space="preserve">Fill in </t>
    </r>
    <r>
      <rPr>
        <b/>
        <sz val="13"/>
        <color theme="1"/>
        <rFont val="Segoe UI"/>
      </rPr>
      <t>Start Date, End Date, % Complete, Assigned To, and Priority</t>
    </r>
    <r>
      <rPr>
        <sz val="13"/>
        <color theme="1"/>
        <rFont val="Segoe UI"/>
      </rPr>
      <t>.</t>
    </r>
  </si>
  <si>
    <r>
      <t>✅ Duration</t>
    </r>
    <r>
      <rPr>
        <sz val="13"/>
        <color theme="1"/>
        <rFont val="Segoe UI"/>
      </rPr>
      <t xml:space="preserve"> = End Date - Start Date + 1</t>
    </r>
  </si>
  <si>
    <r>
      <t>✅ Completed</t>
    </r>
    <r>
      <rPr>
        <sz val="13"/>
        <color theme="1"/>
        <rFont val="Segoe UI"/>
      </rPr>
      <t xml:space="preserve"> = Duration * % Complete</t>
    </r>
  </si>
  <si>
    <r>
      <t>✅ Remaining</t>
    </r>
    <r>
      <rPr>
        <sz val="13"/>
        <color theme="1"/>
        <rFont val="Segoe UI"/>
      </rPr>
      <t xml:space="preserve"> = Duration - Completed</t>
    </r>
  </si>
  <si>
    <r>
      <t xml:space="preserve">Use </t>
    </r>
    <r>
      <rPr>
        <b/>
        <sz val="13"/>
        <color theme="1"/>
        <rFont val="Segoe UI"/>
      </rPr>
      <t>WBS numbers</t>
    </r>
    <r>
      <rPr>
        <sz val="13"/>
        <color theme="1"/>
        <rFont val="Segoe UI"/>
      </rPr>
      <t xml:space="preserve"> (1, 1.1, 1.2, etc.) to organize phases and subtasks.</t>
    </r>
  </si>
  <si>
    <r>
      <t xml:space="preserve">Leave group rows at </t>
    </r>
    <r>
      <rPr>
        <b/>
        <sz val="13"/>
        <color theme="1"/>
        <rFont val="Segoe UI"/>
      </rPr>
      <t>0% Complete</t>
    </r>
    <r>
      <rPr>
        <sz val="13"/>
        <color theme="1"/>
        <rFont val="Segoe UI"/>
      </rPr>
      <t xml:space="preserve"> so they show as dividers without skewing progress.</t>
    </r>
  </si>
  <si>
    <r>
      <t xml:space="preserve">The </t>
    </r>
    <r>
      <rPr>
        <b/>
        <sz val="13"/>
        <color theme="1"/>
        <rFont val="Segoe UI"/>
      </rPr>
      <t>Gantt Chart</t>
    </r>
    <r>
      <rPr>
        <sz val="13"/>
        <color theme="1"/>
        <rFont val="Segoe UI"/>
      </rPr>
      <t xml:space="preserve"> tab updates automatically as you edit the Task Table.</t>
    </r>
  </si>
  <si>
    <r>
      <t xml:space="preserve">The </t>
    </r>
    <r>
      <rPr>
        <b/>
        <sz val="13"/>
        <color theme="1"/>
        <rFont val="Segoe UI"/>
      </rPr>
      <t>Dashboard</t>
    </r>
    <r>
      <rPr>
        <sz val="13"/>
        <color theme="1"/>
        <rFont val="Segoe UI"/>
      </rPr>
      <t xml:space="preserve"> tab shows:</t>
    </r>
  </si>
  <si>
    <r>
      <t xml:space="preserve">Use </t>
    </r>
    <r>
      <rPr>
        <b/>
        <sz val="13"/>
        <color theme="1"/>
        <rFont val="Segoe UI"/>
      </rPr>
      <t>Predecessors</t>
    </r>
    <r>
      <rPr>
        <sz val="13"/>
        <color theme="1"/>
        <rFont val="Segoe UI"/>
      </rPr>
      <t xml:space="preserve"> to note dependencies (by WBS number).</t>
    </r>
  </si>
  <si>
    <r>
      <t xml:space="preserve">1. Go to </t>
    </r>
    <r>
      <rPr>
        <b/>
        <sz val="13"/>
        <color theme="1"/>
        <rFont val="Segoe UI"/>
      </rPr>
      <t>Page Layout → Print Area → Clear Print Area</t>
    </r>
    <r>
      <rPr>
        <sz val="13"/>
        <color theme="1"/>
        <rFont val="Segoe UI"/>
      </rPr>
      <t>.</t>
    </r>
  </si>
  <si>
    <t>For detailed instructions, visit our full guide: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</si>
</sst>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Segoe UI"/>
    </font>
    <font>
      <sz val="14"/>
      <color theme="1"/>
      <name val="Segoe UI"/>
    </font>
    <font>
      <b/>
      <sz val="14"/>
      <color theme="1"/>
      <name val="Segoe UI"/>
    </font>
    <font>
      <b/>
      <sz val="14"/>
      <color theme="1"/>
      <name val="Segoe UI Semibold"/>
    </font>
    <font>
      <b/>
      <sz val="14"/>
      <color theme="0"/>
      <name val="Segoe UI"/>
    </font>
    <font>
      <sz val="18"/>
      <color theme="1"/>
      <name val="Segoe UI"/>
    </font>
    <font>
      <sz val="18"/>
      <color theme="0"/>
      <name val="Segoe UI Semibold"/>
    </font>
    <font>
      <sz val="24"/>
      <color theme="0"/>
      <name val="Segoe UI Bold"/>
    </font>
    <font>
      <sz val="24"/>
      <color theme="1"/>
      <name val="Aptos Narrow"/>
      <family val="2"/>
      <scheme val="minor"/>
    </font>
    <font>
      <b/>
      <sz val="18"/>
      <color theme="0"/>
      <name val="Segoe UI Semibold"/>
    </font>
    <font>
      <sz val="16"/>
      <color theme="1" tint="0.34998626667073579"/>
      <name val="Segoe UI Semibold"/>
    </font>
    <font>
      <sz val="16"/>
      <color theme="1" tint="0.34998626667073579"/>
      <name val="Aptos Narrow"/>
      <family val="2"/>
      <scheme val="minor"/>
    </font>
    <font>
      <sz val="18"/>
      <color theme="1" tint="0.34998626667073579"/>
      <name val="Segoe UI Semibold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rgb="FF0A3494"/>
      <name val="Segoe UI"/>
    </font>
    <font>
      <u/>
      <sz val="12"/>
      <color rgb="FF1053EB"/>
      <name val="Segoe UI Semibold"/>
    </font>
    <font>
      <sz val="13"/>
      <color theme="1"/>
      <name val="Segoe UI"/>
    </font>
    <font>
      <b/>
      <sz val="13"/>
      <color theme="1"/>
      <name val="Segoe UI"/>
    </font>
    <font>
      <sz val="13"/>
      <color theme="1"/>
      <name val="Aptos Narrow"/>
      <family val="2"/>
      <scheme val="minor"/>
    </font>
    <font>
      <b/>
      <sz val="22"/>
      <color rgb="FF0A3494"/>
      <name val="Segoe UI"/>
    </font>
    <font>
      <b/>
      <sz val="16"/>
      <color rgb="FF0A3494"/>
      <name val="Segoe U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A349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/>
      </top>
      <bottom style="thin">
        <color rgb="FF0A3494"/>
      </bottom>
      <diagonal/>
    </border>
    <border>
      <left/>
      <right style="thin">
        <color rgb="FF0A3494"/>
      </right>
      <top style="thin">
        <color theme="0"/>
      </top>
      <bottom style="thin">
        <color rgb="FF0A3494"/>
      </bottom>
      <diagonal/>
    </border>
    <border>
      <left style="thin">
        <color rgb="FF0A3494"/>
      </left>
      <right/>
      <top style="thin">
        <color theme="0"/>
      </top>
      <bottom style="thin">
        <color rgb="FF0A3494"/>
      </bottom>
      <diagonal/>
    </border>
    <border>
      <left style="thin">
        <color rgb="FF0A3494"/>
      </left>
      <right style="thin">
        <color rgb="FF0A3494"/>
      </right>
      <top style="thin">
        <color rgb="FF0A3494"/>
      </top>
      <bottom style="thin">
        <color rgb="FF0A349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170" fontId="6" fillId="3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9" fontId="3" fillId="2" borderId="0" xfId="1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Border="1"/>
    <xf numFmtId="0" fontId="12" fillId="0" borderId="3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70" fontId="4" fillId="2" borderId="0" xfId="0" applyNumberFormat="1" applyFont="1" applyFill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9" fontId="14" fillId="0" borderId="4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3" borderId="0" xfId="0" applyFont="1" applyFill="1" applyBorder="1" applyAlignment="1">
      <alignment horizontal="center" vertical="center"/>
    </xf>
    <xf numFmtId="0" fontId="22" fillId="0" borderId="0" xfId="0" applyFont="1"/>
    <xf numFmtId="0" fontId="24" fillId="0" borderId="0" xfId="0" applyFont="1"/>
    <xf numFmtId="0" fontId="0" fillId="0" borderId="0" xfId="0" applyFont="1"/>
    <xf numFmtId="0" fontId="25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0" fillId="0" borderId="0" xfId="0" applyFont="1" applyFill="1" applyAlignment="1">
      <alignment horizontal="center" vertical="center"/>
    </xf>
    <xf numFmtId="0" fontId="21" fillId="0" borderId="0" xfId="2" applyFont="1" applyFill="1" applyAlignment="1">
      <alignment horizontal="center"/>
    </xf>
    <xf numFmtId="0" fontId="0" fillId="0" borderId="0" xfId="0" applyFill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A3494"/>
      <color rgb="FF1053EB"/>
      <color rgb="FF007B82"/>
      <color rgb="FFE4D449"/>
      <color rgb="FF577820"/>
      <color rgb="FF7C6F00"/>
      <color rgb="FFB5DD73"/>
      <color rgb="FF9E43CA"/>
      <color rgb="FFDF9CFF"/>
      <color rgb="FF53D7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>
                <a:solidFill>
                  <a:schemeClr val="tx1">
                    <a:lumMod val="50000"/>
                    <a:lumOff val="50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Acme Website Redesign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'Task Table'!$B$2:$B$12</c:f>
              <c:strCache>
                <c:ptCount val="11"/>
                <c:pt idx="0">
                  <c:v>Planning Phase</c:v>
                </c:pt>
                <c:pt idx="1">
                  <c:v>Define project goals</c:v>
                </c:pt>
                <c:pt idx="2">
                  <c:v>Gather requirements</c:v>
                </c:pt>
                <c:pt idx="3">
                  <c:v>Design Phase</c:v>
                </c:pt>
                <c:pt idx="4">
                  <c:v>Create wireframes</c:v>
                </c:pt>
                <c:pt idx="5">
                  <c:v>Design mockups</c:v>
                </c:pt>
                <c:pt idx="6">
                  <c:v>Milestone: Design complete</c:v>
                </c:pt>
                <c:pt idx="7">
                  <c:v>Development Phase</c:v>
                </c:pt>
                <c:pt idx="8">
                  <c:v>Build website pages</c:v>
                </c:pt>
                <c:pt idx="9">
                  <c:v>Integrate CMS</c:v>
                </c:pt>
                <c:pt idx="10">
                  <c:v>Milestone: Launch</c:v>
                </c:pt>
              </c:strCache>
            </c:strRef>
          </c:cat>
          <c:val>
            <c:numRef>
              <c:f>'Task Table'!$C$2:$C$12</c:f>
              <c:numCache>
                <c:formatCode>m/d/yy</c:formatCode>
                <c:ptCount val="11"/>
                <c:pt idx="0">
                  <c:v>46027</c:v>
                </c:pt>
                <c:pt idx="1">
                  <c:v>46027</c:v>
                </c:pt>
                <c:pt idx="2">
                  <c:v>46034</c:v>
                </c:pt>
                <c:pt idx="3">
                  <c:v>46041</c:v>
                </c:pt>
                <c:pt idx="4">
                  <c:v>46041</c:v>
                </c:pt>
                <c:pt idx="5">
                  <c:v>46048</c:v>
                </c:pt>
                <c:pt idx="6">
                  <c:v>46059</c:v>
                </c:pt>
                <c:pt idx="7">
                  <c:v>46062</c:v>
                </c:pt>
                <c:pt idx="8">
                  <c:v>46062</c:v>
                </c:pt>
                <c:pt idx="9">
                  <c:v>46076</c:v>
                </c:pt>
                <c:pt idx="10">
                  <c:v>46080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8B-E746-BB8D-73DD7CF65F22}"/>
            </c:ext>
          </c:extLst>
        </c:ser>
        <c:ser>
          <c:idx val="1"/>
          <c:order val="1"/>
          <c:tx>
            <c:v>Completed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808B-E746-BB8D-73DD7CF65F22}"/>
              </c:ext>
            </c:extLst>
          </c:dPt>
          <c:dPt>
            <c:idx val="1"/>
            <c:invertIfNegative val="0"/>
            <c:bubble3D val="0"/>
            <c:spPr>
              <a:solidFill>
                <a:srgbClr val="007B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08B-E746-BB8D-73DD7CF65F22}"/>
              </c:ext>
            </c:extLst>
          </c:dPt>
          <c:dPt>
            <c:idx val="2"/>
            <c:invertIfNegative val="0"/>
            <c:bubble3D val="0"/>
            <c:spPr>
              <a:solidFill>
                <a:srgbClr val="007B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08B-E746-BB8D-73DD7CF65F22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808B-E746-BB8D-73DD7CF65F22}"/>
              </c:ext>
            </c:extLst>
          </c:dPt>
          <c:dPt>
            <c:idx val="4"/>
            <c:invertIfNegative val="0"/>
            <c:bubble3D val="0"/>
            <c:spPr>
              <a:solidFill>
                <a:srgbClr val="9E43C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08B-E746-BB8D-73DD7CF65F22}"/>
              </c:ext>
            </c:extLst>
          </c:dPt>
          <c:dPt>
            <c:idx val="5"/>
            <c:invertIfNegative val="0"/>
            <c:bubble3D val="0"/>
            <c:spPr>
              <a:solidFill>
                <a:srgbClr val="9E43C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08B-E746-BB8D-73DD7CF65F22}"/>
              </c:ext>
            </c:extLst>
          </c:dPt>
          <c:dPt>
            <c:idx val="6"/>
            <c:invertIfNegative val="0"/>
            <c:bubble3D val="0"/>
            <c:spPr>
              <a:solidFill>
                <a:srgbClr val="7C6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808B-E746-BB8D-73DD7CF65F22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808B-E746-BB8D-73DD7CF65F22}"/>
              </c:ext>
            </c:extLst>
          </c:dPt>
          <c:dPt>
            <c:idx val="8"/>
            <c:invertIfNegative val="0"/>
            <c:bubble3D val="0"/>
            <c:spPr>
              <a:solidFill>
                <a:srgbClr val="57782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808B-E746-BB8D-73DD7CF65F22}"/>
              </c:ext>
            </c:extLst>
          </c:dPt>
          <c:dPt>
            <c:idx val="9"/>
            <c:invertIfNegative val="0"/>
            <c:bubble3D val="0"/>
            <c:spPr>
              <a:solidFill>
                <a:srgbClr val="57782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08B-E746-BB8D-73DD7CF65F22}"/>
              </c:ext>
            </c:extLst>
          </c:dPt>
          <c:dPt>
            <c:idx val="10"/>
            <c:invertIfNegative val="0"/>
            <c:bubble3D val="0"/>
            <c:spPr>
              <a:solidFill>
                <a:srgbClr val="7C6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08B-E746-BB8D-73DD7CF65F22}"/>
              </c:ext>
            </c:extLst>
          </c:dPt>
          <c:val>
            <c:numRef>
              <c:f>'Task Table'!$G$2:$G$12</c:f>
              <c:numCache>
                <c:formatCode>0</c:formatCode>
                <c:ptCount val="11"/>
                <c:pt idx="0">
                  <c:v>9</c:v>
                </c:pt>
                <c:pt idx="1">
                  <c:v>5</c:v>
                </c:pt>
                <c:pt idx="2">
                  <c:v>2.5</c:v>
                </c:pt>
                <c:pt idx="3">
                  <c:v>2.7941176470588238</c:v>
                </c:pt>
                <c:pt idx="4">
                  <c:v>2.5</c:v>
                </c:pt>
                <c:pt idx="5">
                  <c:v>0</c:v>
                </c:pt>
                <c:pt idx="6">
                  <c:v>0</c:v>
                </c:pt>
                <c:pt idx="7">
                  <c:v>6.7058823529411766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08B-E746-BB8D-73DD7CF65F22}"/>
            </c:ext>
          </c:extLst>
        </c:ser>
        <c:ser>
          <c:idx val="2"/>
          <c:order val="2"/>
          <c:tx>
            <c:v>Remaining</c:v>
          </c:tx>
          <c:spPr>
            <a:solidFill>
              <a:srgbClr val="53D7D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808B-E746-BB8D-73DD7CF65F22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08B-E746-BB8D-73DD7CF65F22}"/>
              </c:ext>
            </c:extLst>
          </c:dPt>
          <c:dPt>
            <c:idx val="4"/>
            <c:invertIfNegative val="0"/>
            <c:bubble3D val="0"/>
            <c:spPr>
              <a:solidFill>
                <a:srgbClr val="DF9C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808B-E746-BB8D-73DD7CF65F22}"/>
              </c:ext>
            </c:extLst>
          </c:dPt>
          <c:dPt>
            <c:idx val="5"/>
            <c:invertIfNegative val="0"/>
            <c:bubble3D val="0"/>
            <c:spPr>
              <a:solidFill>
                <a:srgbClr val="DF9C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08B-E746-BB8D-73DD7CF65F22}"/>
              </c:ext>
            </c:extLst>
          </c:dPt>
          <c:dPt>
            <c:idx val="6"/>
            <c:invertIfNegative val="0"/>
            <c:bubble3D val="0"/>
            <c:spPr>
              <a:solidFill>
                <a:srgbClr val="E4D44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08B-E746-BB8D-73DD7CF65F22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808B-E746-BB8D-73DD7CF65F22}"/>
              </c:ext>
            </c:extLst>
          </c:dPt>
          <c:dPt>
            <c:idx val="8"/>
            <c:invertIfNegative val="0"/>
            <c:bubble3D val="0"/>
            <c:spPr>
              <a:solidFill>
                <a:srgbClr val="B5DD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808B-E746-BB8D-73DD7CF65F22}"/>
              </c:ext>
            </c:extLst>
          </c:dPt>
          <c:dPt>
            <c:idx val="9"/>
            <c:invertIfNegative val="0"/>
            <c:bubble3D val="0"/>
            <c:spPr>
              <a:solidFill>
                <a:srgbClr val="B5DD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08B-E746-BB8D-73DD7CF65F22}"/>
              </c:ext>
            </c:extLst>
          </c:dPt>
          <c:dPt>
            <c:idx val="10"/>
            <c:invertIfNegative val="0"/>
            <c:bubble3D val="0"/>
            <c:spPr>
              <a:solidFill>
                <a:srgbClr val="E4D44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08B-E746-BB8D-73DD7CF65F22}"/>
              </c:ext>
            </c:extLst>
          </c:dPt>
          <c:val>
            <c:numRef>
              <c:f>'Task Table'!$H$2:$H$12</c:f>
              <c:numCache>
                <c:formatCode>0</c:formatCode>
                <c:ptCount val="11"/>
                <c:pt idx="0">
                  <c:v>3</c:v>
                </c:pt>
                <c:pt idx="1">
                  <c:v>0</c:v>
                </c:pt>
                <c:pt idx="2">
                  <c:v>2.5</c:v>
                </c:pt>
                <c:pt idx="3">
                  <c:v>16.205882352941178</c:v>
                </c:pt>
                <c:pt idx="4">
                  <c:v>2.5</c:v>
                </c:pt>
                <c:pt idx="5">
                  <c:v>11</c:v>
                </c:pt>
                <c:pt idx="6">
                  <c:v>1</c:v>
                </c:pt>
                <c:pt idx="7">
                  <c:v>12.294117647058822</c:v>
                </c:pt>
                <c:pt idx="8">
                  <c:v>6</c:v>
                </c:pt>
                <c:pt idx="9">
                  <c:v>4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08B-E746-BB8D-73DD7CF65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013751936"/>
        <c:axId val="1576637040"/>
      </c:barChart>
      <c:catAx>
        <c:axId val="10137519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502040204020203" pitchFamily="34" charset="0"/>
                <a:ea typeface="+mn-ea"/>
                <a:cs typeface="Segoe UI Semibold" panose="020B0502040204020203" pitchFamily="34" charset="0"/>
              </a:defRPr>
            </a:pPr>
            <a:endParaRPr lang="en-US"/>
          </a:p>
        </c:txPr>
        <c:crossAx val="1576637040"/>
        <c:crosses val="autoZero"/>
        <c:auto val="1"/>
        <c:lblAlgn val="ctr"/>
        <c:lblOffset val="100"/>
        <c:noMultiLvlLbl val="0"/>
      </c:catAx>
      <c:valAx>
        <c:axId val="1576637040"/>
        <c:scaling>
          <c:orientation val="minMax"/>
          <c:max val="46081"/>
          <c:min val="4602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502040204020203" pitchFamily="34" charset="0"/>
                <a:ea typeface="+mn-ea"/>
                <a:cs typeface="Segoe UI Semibold" panose="020B0502040204020203" pitchFamily="34" charset="0"/>
              </a:defRPr>
            </a:pPr>
            <a:endParaRPr lang="en-US"/>
          </a:p>
        </c:txPr>
        <c:crossAx val="1013751936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hyperlink" Target="https://www.teamgantt.com/signup?utm_source=excel-template&amp;utm_medium=download&amp;utm_campaign=excel-gantt-chart-template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</xdr:colOff>
      <xdr:row>0</xdr:row>
      <xdr:rowOff>0</xdr:rowOff>
    </xdr:from>
    <xdr:to>
      <xdr:col>2</xdr:col>
      <xdr:colOff>34788</xdr:colOff>
      <xdr:row>0</xdr:row>
      <xdr:rowOff>1016000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2C995D-8722-B485-AD73-43ED4C325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399" y="0"/>
          <a:ext cx="11198089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16</xdr:col>
      <xdr:colOff>596900</xdr:colOff>
      <xdr:row>27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BF8AA-999F-744F-B130-7B1815BE2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teamgantt.com/free-gantt-chart-excel-templa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AFFD-BA7C-784B-AEFC-4DD05A64C4CB}">
  <sheetPr>
    <pageSetUpPr fitToPage="1"/>
  </sheetPr>
  <dimension ref="A1:B33"/>
  <sheetViews>
    <sheetView workbookViewId="0">
      <selection activeCell="F14" sqref="F14"/>
    </sheetView>
  </sheetViews>
  <sheetFormatPr baseColWidth="10" defaultRowHeight="18" x14ac:dyDescent="0.25"/>
  <cols>
    <col min="1" max="1" width="91.6640625" style="35" customWidth="1"/>
    <col min="2" max="2" width="55.1640625" customWidth="1"/>
  </cols>
  <sheetData>
    <row r="1" spans="1:2" ht="95" customHeight="1" x14ac:dyDescent="0.25"/>
    <row r="2" spans="1:2" s="38" customFormat="1" ht="42" customHeight="1" x14ac:dyDescent="0.2">
      <c r="A2" s="37" t="s">
        <v>38</v>
      </c>
      <c r="B2" s="45" t="s">
        <v>66</v>
      </c>
    </row>
    <row r="3" spans="1:2" ht="20" x14ac:dyDescent="0.3">
      <c r="A3" s="34"/>
      <c r="B3" s="46" t="s">
        <v>53</v>
      </c>
    </row>
    <row r="4" spans="1:2" s="38" customFormat="1" ht="42" customHeight="1" x14ac:dyDescent="0.2">
      <c r="A4" s="42" t="s">
        <v>39</v>
      </c>
      <c r="B4" s="47"/>
    </row>
    <row r="5" spans="1:2" s="40" customFormat="1" ht="28" customHeight="1" x14ac:dyDescent="0.2">
      <c r="A5" s="39" t="s">
        <v>55</v>
      </c>
    </row>
    <row r="6" spans="1:2" s="40" customFormat="1" ht="28" customHeight="1" x14ac:dyDescent="0.2">
      <c r="A6" s="39" t="s">
        <v>56</v>
      </c>
    </row>
    <row r="7" spans="1:2" s="40" customFormat="1" ht="28" customHeight="1" x14ac:dyDescent="0.2">
      <c r="A7" s="39" t="s">
        <v>40</v>
      </c>
    </row>
    <row r="8" spans="1:2" s="40" customFormat="1" ht="28" customHeight="1" x14ac:dyDescent="0.2">
      <c r="A8" s="41" t="s">
        <v>57</v>
      </c>
    </row>
    <row r="9" spans="1:2" s="40" customFormat="1" ht="28" customHeight="1" x14ac:dyDescent="0.2">
      <c r="A9" s="41" t="s">
        <v>58</v>
      </c>
    </row>
    <row r="10" spans="1:2" s="40" customFormat="1" ht="28" customHeight="1" x14ac:dyDescent="0.2">
      <c r="A10" s="41" t="s">
        <v>59</v>
      </c>
    </row>
    <row r="11" spans="1:2" s="40" customFormat="1" ht="28" customHeight="1" x14ac:dyDescent="0.2">
      <c r="A11" s="39" t="s">
        <v>60</v>
      </c>
    </row>
    <row r="12" spans="1:2" s="40" customFormat="1" ht="28" customHeight="1" x14ac:dyDescent="0.2">
      <c r="A12" s="39" t="s">
        <v>61</v>
      </c>
    </row>
    <row r="13" spans="1:2" s="36" customFormat="1" ht="26" customHeight="1" x14ac:dyDescent="0.2">
      <c r="A13" s="1"/>
    </row>
    <row r="14" spans="1:2" s="38" customFormat="1" ht="42" customHeight="1" x14ac:dyDescent="0.2">
      <c r="A14" s="42" t="s">
        <v>41</v>
      </c>
    </row>
    <row r="15" spans="1:2" s="40" customFormat="1" ht="28" customHeight="1" x14ac:dyDescent="0.2">
      <c r="A15" s="39" t="s">
        <v>62</v>
      </c>
    </row>
    <row r="16" spans="1:2" s="40" customFormat="1" ht="28" customHeight="1" x14ac:dyDescent="0.2">
      <c r="A16" s="39" t="s">
        <v>42</v>
      </c>
    </row>
    <row r="17" spans="1:1" s="40" customFormat="1" ht="28" customHeight="1" x14ac:dyDescent="0.2">
      <c r="A17" s="39" t="s">
        <v>43</v>
      </c>
    </row>
    <row r="18" spans="1:1" s="44" customFormat="1" ht="28" customHeight="1" x14ac:dyDescent="0.2">
      <c r="A18" s="43"/>
    </row>
    <row r="19" spans="1:1" s="38" customFormat="1" ht="42" customHeight="1" x14ac:dyDescent="0.2">
      <c r="A19" s="42" t="s">
        <v>44</v>
      </c>
    </row>
    <row r="20" spans="1:1" s="40" customFormat="1" ht="28" customHeight="1" x14ac:dyDescent="0.2">
      <c r="A20" s="39" t="s">
        <v>63</v>
      </c>
    </row>
    <row r="21" spans="1:1" s="40" customFormat="1" ht="28" customHeight="1" x14ac:dyDescent="0.2">
      <c r="A21" s="39" t="s">
        <v>48</v>
      </c>
    </row>
    <row r="22" spans="1:1" s="40" customFormat="1" ht="28" customHeight="1" x14ac:dyDescent="0.2">
      <c r="A22" s="39" t="s">
        <v>49</v>
      </c>
    </row>
    <row r="23" spans="1:1" s="40" customFormat="1" ht="28" customHeight="1" x14ac:dyDescent="0.2">
      <c r="A23" s="39" t="s">
        <v>50</v>
      </c>
    </row>
    <row r="24" spans="1:1" s="40" customFormat="1" ht="28" customHeight="1" x14ac:dyDescent="0.2">
      <c r="A24" s="39" t="s">
        <v>51</v>
      </c>
    </row>
    <row r="25" spans="1:1" s="40" customFormat="1" ht="28" customHeight="1" x14ac:dyDescent="0.2">
      <c r="A25" s="39" t="s">
        <v>45</v>
      </c>
    </row>
    <row r="26" spans="1:1" s="40" customFormat="1" ht="28" customHeight="1" x14ac:dyDescent="0.2">
      <c r="A26" s="39" t="s">
        <v>46</v>
      </c>
    </row>
    <row r="27" spans="1:1" s="44" customFormat="1" ht="28" customHeight="1" x14ac:dyDescent="0.2">
      <c r="A27" s="43"/>
    </row>
    <row r="28" spans="1:1" s="38" customFormat="1" ht="42" customHeight="1" x14ac:dyDescent="0.2">
      <c r="A28" s="42" t="s">
        <v>47</v>
      </c>
    </row>
    <row r="29" spans="1:1" s="40" customFormat="1" ht="28" customHeight="1" x14ac:dyDescent="0.2">
      <c r="A29" s="39" t="s">
        <v>64</v>
      </c>
    </row>
    <row r="30" spans="1:1" s="40" customFormat="1" ht="28" customHeight="1" x14ac:dyDescent="0.2">
      <c r="A30" s="39" t="s">
        <v>54</v>
      </c>
    </row>
    <row r="31" spans="1:1" s="40" customFormat="1" ht="28" customHeight="1" x14ac:dyDescent="0.2">
      <c r="A31" s="39" t="s">
        <v>65</v>
      </c>
    </row>
    <row r="32" spans="1:1" s="40" customFormat="1" ht="28" customHeight="1" x14ac:dyDescent="0.2">
      <c r="A32" s="39" t="s">
        <v>52</v>
      </c>
    </row>
    <row r="33" spans="1:1" ht="20" x14ac:dyDescent="0.3">
      <c r="A33" s="34"/>
    </row>
  </sheetData>
  <hyperlinks>
    <hyperlink ref="B3" r:id="rId1" xr:uid="{8A323CF6-0767-A047-A067-B233C28288B5}"/>
  </hyperlinks>
  <pageMargins left="0.7" right="0.7" top="0.75" bottom="0.75" header="0.3" footer="0.3"/>
  <pageSetup scale="79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199A-0A35-3C49-B17D-D3137096E15A}">
  <dimension ref="A1:D8"/>
  <sheetViews>
    <sheetView zoomScaleNormal="100" workbookViewId="0">
      <selection activeCell="B4" sqref="B4"/>
    </sheetView>
  </sheetViews>
  <sheetFormatPr baseColWidth="10" defaultColWidth="37.1640625" defaultRowHeight="26" x14ac:dyDescent="0.35"/>
  <cols>
    <col min="1" max="1" width="37.1640625" style="19"/>
    <col min="2" max="2" width="37.1640625" style="18"/>
    <col min="3" max="16384" width="37.1640625" style="19"/>
  </cols>
  <sheetData>
    <row r="1" spans="1:4" s="20" customFormat="1" ht="45" customHeight="1" x14ac:dyDescent="0.2">
      <c r="A1" s="22" t="s">
        <v>32</v>
      </c>
      <c r="B1" s="23"/>
      <c r="C1" s="21"/>
    </row>
    <row r="2" spans="1:4" s="20" customFormat="1" ht="34" customHeight="1" x14ac:dyDescent="0.2">
      <c r="A2" s="25" t="s">
        <v>30</v>
      </c>
      <c r="B2" s="26"/>
      <c r="C2" s="27"/>
    </row>
    <row r="3" spans="1:4" ht="30" customHeight="1" x14ac:dyDescent="0.35">
      <c r="A3" s="24"/>
      <c r="B3" s="24"/>
      <c r="C3" s="24"/>
    </row>
    <row r="4" spans="1:4" s="20" customFormat="1" ht="34" customHeight="1" x14ac:dyDescent="0.2">
      <c r="A4" s="29" t="s">
        <v>33</v>
      </c>
      <c r="B4" s="29" t="s">
        <v>34</v>
      </c>
      <c r="C4" s="29" t="s">
        <v>35</v>
      </c>
    </row>
    <row r="5" spans="1:4" s="20" customFormat="1" ht="34" customHeight="1" x14ac:dyDescent="0.2">
      <c r="A5" s="30">
        <f>MAX('Task Table'!D:D) - MIN('Task Table'!C:C)+1</f>
        <v>54</v>
      </c>
      <c r="B5" s="31">
        <f>AVERAGE('Task Table'!F3,'Task Table'!F4,'Task Table'!F6,'Task Table'!F7,'Task Table'!F8,'Task Table'!F10,'Task Table'!F11,'Task Table'!F12)</f>
        <v>0.3125</v>
      </c>
      <c r="C5" s="30">
        <f ca="1">MAX(0, 'Task Table'!D9 - TODAY())</f>
        <v>172</v>
      </c>
    </row>
    <row r="6" spans="1:4" s="20" customFormat="1" ht="30" customHeight="1" x14ac:dyDescent="0.2">
      <c r="A6" s="32"/>
      <c r="B6" s="32"/>
      <c r="C6" s="32"/>
    </row>
    <row r="7" spans="1:4" s="20" customFormat="1" ht="34" customHeight="1" x14ac:dyDescent="0.2">
      <c r="A7" s="29" t="s">
        <v>37</v>
      </c>
      <c r="B7" s="33" t="s">
        <v>31</v>
      </c>
      <c r="C7" s="33" t="s">
        <v>36</v>
      </c>
      <c r="D7" s="32"/>
    </row>
    <row r="8" spans="1:4" s="20" customFormat="1" ht="34" customHeight="1" x14ac:dyDescent="0.2">
      <c r="A8" s="30">
        <f>COUNTIF('Task Table'!F:F,1)</f>
        <v>1</v>
      </c>
      <c r="B8" s="30">
        <f>(COUNTIF('Task Table'!F:F, "&lt;1") - COUNTIF('Task Table'!F:F,0))</f>
        <v>6</v>
      </c>
      <c r="C8" s="30" cm="1">
        <f t="array" ref="C8">SUMPRODUCT((('Task Table'!F:F=0)+('Task Table'!F:F="")&gt;0)*(ISNUMBER(SEARCH(".",'Task Table'!A:A&amp;""))))</f>
        <v>4</v>
      </c>
    </row>
  </sheetData>
  <mergeCells count="2">
    <mergeCell ref="A1:C1"/>
    <mergeCell ref="A2:C2"/>
  </mergeCells>
  <pageMargins left="0.7" right="0.7" top="0.75" bottom="0.75" header="0.3" footer="0.3"/>
  <pageSetup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0104-90D0-6E48-9705-99D62962AC6C}">
  <sheetPr>
    <pageSetUpPr fitToPage="1"/>
  </sheetPr>
  <dimension ref="A1:K12"/>
  <sheetViews>
    <sheetView zoomScale="110" zoomScaleNormal="110" workbookViewId="0">
      <selection activeCell="F8" sqref="F8"/>
    </sheetView>
  </sheetViews>
  <sheetFormatPr baseColWidth="10" defaultRowHeight="26" customHeight="1" x14ac:dyDescent="0.2"/>
  <cols>
    <col min="1" max="1" width="10.83203125" style="10"/>
    <col min="2" max="2" width="46.1640625" style="2" customWidth="1"/>
    <col min="3" max="6" width="16" style="3" customWidth="1"/>
    <col min="7" max="8" width="16" style="11" customWidth="1"/>
    <col min="9" max="10" width="16" style="3" customWidth="1"/>
    <col min="11" max="11" width="21" style="2" customWidth="1"/>
    <col min="12" max="16384" width="10.83203125" style="2"/>
  </cols>
  <sheetData>
    <row r="1" spans="1:11" ht="26" customHeight="1" x14ac:dyDescent="0.2">
      <c r="A1" s="15" t="s">
        <v>29</v>
      </c>
      <c r="B1" s="13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6" t="s">
        <v>27</v>
      </c>
      <c r="H1" s="16" t="s">
        <v>28</v>
      </c>
      <c r="I1" s="14" t="s">
        <v>6</v>
      </c>
      <c r="J1" s="14" t="s">
        <v>7</v>
      </c>
      <c r="K1" s="14" t="s">
        <v>5</v>
      </c>
    </row>
    <row r="2" spans="1:11" ht="26" customHeight="1" x14ac:dyDescent="0.2">
      <c r="A2" s="28">
        <v>1</v>
      </c>
      <c r="B2" s="7" t="s">
        <v>8</v>
      </c>
      <c r="C2" s="9">
        <v>46027</v>
      </c>
      <c r="D2" s="9">
        <v>46038</v>
      </c>
      <c r="E2" s="8">
        <f>D2-C2+1</f>
        <v>12</v>
      </c>
      <c r="F2" s="17">
        <f>SUMPRODUCT(E3:E4, F3:F4) / SUM(E3:E4)</f>
        <v>0.75</v>
      </c>
      <c r="G2" s="12">
        <f>E2*F2</f>
        <v>9</v>
      </c>
      <c r="H2" s="12">
        <f>E2-G2</f>
        <v>3</v>
      </c>
      <c r="I2" s="8"/>
      <c r="J2" s="8"/>
      <c r="K2" s="8"/>
    </row>
    <row r="3" spans="1:11" ht="26" customHeight="1" x14ac:dyDescent="0.2">
      <c r="A3" s="10">
        <v>1.1000000000000001</v>
      </c>
      <c r="B3" s="2" t="s">
        <v>9</v>
      </c>
      <c r="C3" s="4">
        <v>46027</v>
      </c>
      <c r="D3" s="4">
        <v>46031</v>
      </c>
      <c r="E3" s="11">
        <f>D3-C3+1</f>
        <v>5</v>
      </c>
      <c r="F3" s="5">
        <v>1</v>
      </c>
      <c r="G3" s="11">
        <f>E3*F3</f>
        <v>5</v>
      </c>
      <c r="H3" s="11">
        <f>E3-G3</f>
        <v>0</v>
      </c>
      <c r="I3" s="3" t="s">
        <v>10</v>
      </c>
      <c r="J3" s="3" t="s">
        <v>11</v>
      </c>
      <c r="K3" s="3"/>
    </row>
    <row r="4" spans="1:11" ht="26" customHeight="1" x14ac:dyDescent="0.2">
      <c r="A4" s="10">
        <v>1.2</v>
      </c>
      <c r="B4" s="2" t="s">
        <v>12</v>
      </c>
      <c r="C4" s="4">
        <v>46034</v>
      </c>
      <c r="D4" s="4">
        <v>46038</v>
      </c>
      <c r="E4" s="11">
        <f>D4-C4+1</f>
        <v>5</v>
      </c>
      <c r="F4" s="5">
        <v>0.5</v>
      </c>
      <c r="G4" s="11">
        <f>E4*F4</f>
        <v>2.5</v>
      </c>
      <c r="H4" s="11">
        <f>E4-G4</f>
        <v>2.5</v>
      </c>
      <c r="I4" s="3" t="s">
        <v>10</v>
      </c>
      <c r="J4" s="3" t="s">
        <v>13</v>
      </c>
      <c r="K4" s="3">
        <v>1.1000000000000001</v>
      </c>
    </row>
    <row r="5" spans="1:11" ht="26" customHeight="1" x14ac:dyDescent="0.2">
      <c r="A5" s="28">
        <v>2</v>
      </c>
      <c r="B5" s="7" t="s">
        <v>14</v>
      </c>
      <c r="C5" s="9">
        <v>46041</v>
      </c>
      <c r="D5" s="9">
        <v>46059</v>
      </c>
      <c r="E5" s="12">
        <f>D5-C5+1</f>
        <v>19</v>
      </c>
      <c r="F5" s="17">
        <f>SUMPRODUCT(E6:E8, F6:F8) / SUM(E6:E8)</f>
        <v>0.14705882352941177</v>
      </c>
      <c r="G5" s="12">
        <f>E5*F5</f>
        <v>2.7941176470588238</v>
      </c>
      <c r="H5" s="12">
        <f>E5-G5</f>
        <v>16.205882352941178</v>
      </c>
      <c r="I5" s="8"/>
      <c r="J5" s="8"/>
      <c r="K5" s="8"/>
    </row>
    <row r="6" spans="1:11" ht="26" customHeight="1" x14ac:dyDescent="0.2">
      <c r="A6" s="10">
        <v>2.1</v>
      </c>
      <c r="B6" s="2" t="s">
        <v>15</v>
      </c>
      <c r="C6" s="4">
        <v>46041</v>
      </c>
      <c r="D6" s="4">
        <v>46045</v>
      </c>
      <c r="E6" s="11">
        <f>D6-C6+1</f>
        <v>5</v>
      </c>
      <c r="F6" s="5">
        <v>0.5</v>
      </c>
      <c r="G6" s="11">
        <f t="shared" ref="G6:G8" si="0">E6*F6</f>
        <v>2.5</v>
      </c>
      <c r="H6" s="11">
        <f t="shared" ref="H6:H9" si="1">E6-G6</f>
        <v>2.5</v>
      </c>
      <c r="I6" s="3" t="s">
        <v>16</v>
      </c>
      <c r="J6" s="3" t="s">
        <v>11</v>
      </c>
      <c r="K6" s="3">
        <v>1.2</v>
      </c>
    </row>
    <row r="7" spans="1:11" ht="26" customHeight="1" x14ac:dyDescent="0.2">
      <c r="A7" s="10">
        <v>2.2000000000000002</v>
      </c>
      <c r="B7" s="2" t="s">
        <v>17</v>
      </c>
      <c r="C7" s="4">
        <v>46048</v>
      </c>
      <c r="D7" s="4">
        <v>46058</v>
      </c>
      <c r="E7" s="11">
        <f>D7-C7+1</f>
        <v>11</v>
      </c>
      <c r="F7" s="5">
        <v>0</v>
      </c>
      <c r="G7" s="11">
        <f t="shared" si="0"/>
        <v>0</v>
      </c>
      <c r="H7" s="11">
        <f t="shared" si="1"/>
        <v>11</v>
      </c>
      <c r="I7" s="3" t="s">
        <v>18</v>
      </c>
      <c r="J7" s="3" t="s">
        <v>11</v>
      </c>
      <c r="K7" s="3">
        <v>2.1</v>
      </c>
    </row>
    <row r="8" spans="1:11" ht="26" customHeight="1" x14ac:dyDescent="0.2">
      <c r="A8" s="10">
        <v>2.2999999999999998</v>
      </c>
      <c r="B8" s="6" t="s">
        <v>19</v>
      </c>
      <c r="C8" s="4">
        <v>46059</v>
      </c>
      <c r="D8" s="4">
        <v>46059</v>
      </c>
      <c r="E8" s="11">
        <f t="shared" ref="E8" si="2">D8-C8+1</f>
        <v>1</v>
      </c>
      <c r="F8" s="5">
        <v>0</v>
      </c>
      <c r="G8" s="11">
        <f t="shared" si="0"/>
        <v>0</v>
      </c>
      <c r="H8" s="11">
        <f t="shared" si="1"/>
        <v>1</v>
      </c>
      <c r="I8" s="3" t="s">
        <v>20</v>
      </c>
      <c r="J8" s="3" t="s">
        <v>11</v>
      </c>
      <c r="K8" s="3">
        <v>2.2000000000000002</v>
      </c>
    </row>
    <row r="9" spans="1:11" ht="26" customHeight="1" x14ac:dyDescent="0.2">
      <c r="A9" s="28">
        <v>3</v>
      </c>
      <c r="B9" s="7" t="s">
        <v>21</v>
      </c>
      <c r="C9" s="9">
        <v>46062</v>
      </c>
      <c r="D9" s="9">
        <v>46080</v>
      </c>
      <c r="E9" s="12">
        <f>D9-C9+1</f>
        <v>19</v>
      </c>
      <c r="F9" s="17">
        <f>SUMPRODUCT(E10:E12, F10:F12) / SUM(E10:E12)</f>
        <v>0.35294117647058826</v>
      </c>
      <c r="G9" s="12">
        <f>E9*F9</f>
        <v>6.7058823529411766</v>
      </c>
      <c r="H9" s="12">
        <f t="shared" si="1"/>
        <v>12.294117647058822</v>
      </c>
      <c r="I9" s="8"/>
      <c r="J9" s="8"/>
      <c r="K9" s="8"/>
    </row>
    <row r="10" spans="1:11" ht="26" customHeight="1" x14ac:dyDescent="0.2">
      <c r="A10" s="10">
        <v>3.1</v>
      </c>
      <c r="B10" s="2" t="s">
        <v>22</v>
      </c>
      <c r="C10" s="4">
        <v>46062</v>
      </c>
      <c r="D10" s="4">
        <v>46073</v>
      </c>
      <c r="E10" s="11">
        <f>D10-C10+1</f>
        <v>12</v>
      </c>
      <c r="F10" s="5">
        <v>0.5</v>
      </c>
      <c r="G10" s="11">
        <f t="shared" ref="G10:G12" si="3">E10*F10</f>
        <v>6</v>
      </c>
      <c r="H10" s="11">
        <f t="shared" ref="H10:H12" si="4">E10-G10</f>
        <v>6</v>
      </c>
      <c r="I10" s="3" t="s">
        <v>23</v>
      </c>
      <c r="J10" s="3" t="s">
        <v>11</v>
      </c>
      <c r="K10" s="3">
        <v>2.2999999999999998</v>
      </c>
    </row>
    <row r="11" spans="1:11" ht="26" customHeight="1" x14ac:dyDescent="0.2">
      <c r="A11" s="10">
        <v>3.2</v>
      </c>
      <c r="B11" s="2" t="s">
        <v>24</v>
      </c>
      <c r="C11" s="4">
        <v>46076</v>
      </c>
      <c r="D11" s="4">
        <v>46079</v>
      </c>
      <c r="E11" s="11">
        <f t="shared" ref="E11:E12" si="5">D11-C11+1</f>
        <v>4</v>
      </c>
      <c r="F11" s="5">
        <v>0</v>
      </c>
      <c r="G11" s="11">
        <f t="shared" si="3"/>
        <v>0</v>
      </c>
      <c r="H11" s="11">
        <f t="shared" si="4"/>
        <v>4</v>
      </c>
      <c r="I11" s="3" t="s">
        <v>25</v>
      </c>
      <c r="J11" s="3" t="s">
        <v>13</v>
      </c>
      <c r="K11" s="3">
        <v>3.1</v>
      </c>
    </row>
    <row r="12" spans="1:11" ht="26" customHeight="1" x14ac:dyDescent="0.2">
      <c r="A12" s="10">
        <v>3.3</v>
      </c>
      <c r="B12" s="6" t="s">
        <v>26</v>
      </c>
      <c r="C12" s="4">
        <v>46080</v>
      </c>
      <c r="D12" s="4">
        <v>46080</v>
      </c>
      <c r="E12" s="11">
        <f t="shared" si="5"/>
        <v>1</v>
      </c>
      <c r="F12" s="5">
        <v>0</v>
      </c>
      <c r="G12" s="11">
        <f t="shared" si="3"/>
        <v>0</v>
      </c>
      <c r="H12" s="11">
        <f t="shared" si="4"/>
        <v>1</v>
      </c>
      <c r="I12" s="3" t="s">
        <v>20</v>
      </c>
      <c r="J12" s="3" t="s">
        <v>11</v>
      </c>
      <c r="K12" s="3">
        <v>3.2</v>
      </c>
    </row>
  </sheetData>
  <conditionalFormatting sqref="F3:F4 F6:F8 F10:F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scale="55" orientation="landscape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B653-0B03-5C4D-A96C-B221637CF253}">
  <sheetPr>
    <pageSetUpPr fitToPage="1"/>
  </sheetPr>
  <dimension ref="A1"/>
  <sheetViews>
    <sheetView tabSelected="1" zoomScaleNormal="100" workbookViewId="0">
      <selection activeCell="S33" sqref="S33"/>
    </sheetView>
  </sheetViews>
  <sheetFormatPr baseColWidth="10" defaultRowHeight="16" x14ac:dyDescent="0.2"/>
  <sheetData/>
  <pageMargins left="0.7" right="0.7" top="0.75" bottom="0.75" header="0.3" footer="0.3"/>
  <pageSetup scale="62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Instructions</vt:lpstr>
      <vt:lpstr>Dashboard</vt:lpstr>
      <vt:lpstr>Task Table</vt:lpstr>
      <vt:lpstr>Gantt Chart</vt:lpstr>
      <vt:lpstr>Instructions!Print_Area</vt:lpstr>
      <vt:lpstr>'Task 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LaPrad</dc:creator>
  <cp:lastModifiedBy>Laura LaPrad</cp:lastModifiedBy>
  <cp:lastPrinted>2025-09-08T01:26:07Z</cp:lastPrinted>
  <dcterms:created xsi:type="dcterms:W3CDTF">2025-09-04T01:26:07Z</dcterms:created>
  <dcterms:modified xsi:type="dcterms:W3CDTF">2025-09-08T13:21:53Z</dcterms:modified>
</cp:coreProperties>
</file>