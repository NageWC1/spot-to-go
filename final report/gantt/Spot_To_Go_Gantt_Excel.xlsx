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500" tabRatio="600" firstSheet="0" activeTab="3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Task Table" sheetId="3" state="visible" r:id="rId3"/>
    <sheet xmlns:r="http://schemas.openxmlformats.org/officeDocument/2006/relationships" name="Gantt Chart" sheetId="4" state="visible" r:id="rId4"/>
  </sheets>
  <definedNames>
    <definedName name="_xlnm.Print_Area" localSheetId="0">'Instructions'!$A$2:$A$32</definedName>
    <definedName name="_xlnm.Print_Area" localSheetId="2">'Task Table'!$A$1:$K$12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 h:mm:ss"/>
    <numFmt numFmtId="166" formatCode="m/d/yy"/>
  </numFmts>
  <fonts count="27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Segoe UI"/>
      <color theme="1"/>
      <sz val="12"/>
    </font>
    <font>
      <name val="Segoe UI"/>
      <color theme="1"/>
      <sz val="14"/>
    </font>
    <font>
      <name val="Segoe UI"/>
      <b val="1"/>
      <color theme="1"/>
      <sz val="14"/>
    </font>
    <font>
      <name val="Segoe UI Semibold"/>
      <b val="1"/>
      <color theme="1"/>
      <sz val="14"/>
    </font>
    <font>
      <name val="Segoe UI"/>
      <b val="1"/>
      <color theme="0"/>
      <sz val="14"/>
    </font>
    <font>
      <name val="Segoe UI"/>
      <color theme="1"/>
      <sz val="18"/>
    </font>
    <font>
      <name val="Segoe UI Semibold"/>
      <color theme="0"/>
      <sz val="18"/>
    </font>
    <font>
      <name val="Segoe UI Bold"/>
      <color theme="0"/>
      <sz val="24"/>
    </font>
    <font>
      <name val="Aptos Narrow"/>
      <family val="2"/>
      <color theme="1"/>
      <sz val="24"/>
      <scheme val="minor"/>
    </font>
    <font>
      <name val="Segoe UI Semibold"/>
      <b val="1"/>
      <color theme="0"/>
      <sz val="18"/>
    </font>
    <font>
      <name val="Segoe UI Semibold"/>
      <color theme="1" tint="0.3499862666707358"/>
      <sz val="16"/>
    </font>
    <font>
      <name val="Aptos Narrow"/>
      <family val="2"/>
      <color theme="1" tint="0.3499862666707358"/>
      <sz val="16"/>
      <scheme val="minor"/>
    </font>
    <font>
      <name val="Segoe UI Semibold"/>
      <color theme="1" tint="0.3499862666707358"/>
      <sz val="18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Aptos Narrow"/>
      <color rgb="FF000000"/>
      <sz val="10"/>
      <scheme val="minor"/>
    </font>
    <font>
      <name val="Aptos Narrow"/>
      <b val="1"/>
      <color rgb="FF000000"/>
      <sz val="10"/>
      <scheme val="minor"/>
    </font>
    <font>
      <name val="Aptos Narrow"/>
      <family val="2"/>
      <color theme="10"/>
      <sz val="12"/>
      <u val="single"/>
      <scheme val="minor"/>
    </font>
    <font>
      <name val="Segoe UI"/>
      <b val="1"/>
      <color rgb="FF0A3494"/>
      <sz val="12"/>
    </font>
    <font>
      <name val="Segoe UI Semibold"/>
      <color rgb="FF1053EB"/>
      <sz val="12"/>
      <u val="single"/>
    </font>
    <font>
      <name val="Segoe UI"/>
      <color theme="1"/>
      <sz val="13"/>
    </font>
    <font>
      <name val="Segoe UI"/>
      <b val="1"/>
      <color theme="1"/>
      <sz val="13"/>
    </font>
    <font>
      <name val="Aptos Narrow"/>
      <family val="2"/>
      <color theme="1"/>
      <sz val="13"/>
      <scheme val="minor"/>
    </font>
    <font>
      <name val="Segoe UI"/>
      <b val="1"/>
      <color rgb="FF0A3494"/>
      <sz val="22"/>
    </font>
    <font>
      <name val="Segoe UI"/>
      <b val="1"/>
      <color rgb="FF0A3494"/>
      <sz val="16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0A3494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0"/>
      </top>
      <bottom style="thin">
        <color rgb="FF0A3494"/>
      </bottom>
      <diagonal/>
    </border>
    <border>
      <left/>
      <right style="thin">
        <color rgb="FF0A3494"/>
      </right>
      <top style="thin">
        <color theme="0"/>
      </top>
      <bottom style="thin">
        <color rgb="FF0A3494"/>
      </bottom>
      <diagonal/>
    </border>
    <border>
      <left style="thin">
        <color rgb="FF0A3494"/>
      </left>
      <right/>
      <top style="thin">
        <color theme="0"/>
      </top>
      <bottom style="thin">
        <color rgb="FF0A3494"/>
      </bottom>
      <diagonal/>
    </border>
    <border>
      <left style="thin">
        <color rgb="FF0A3494"/>
      </left>
      <right style="thin">
        <color rgb="FF0A3494"/>
      </right>
      <top style="thin">
        <color rgb="FF0A3494"/>
      </top>
      <bottom style="thin">
        <color rgb="FF0A3494"/>
      </bottom>
      <diagonal/>
    </border>
    <border>
      <left style="thin">
        <color rgb="FF0A3494"/>
      </left>
      <right style="thin">
        <color rgb="FF0A3494"/>
      </right>
      <top style="thin">
        <color theme="0"/>
      </top>
      <bottom style="thin">
        <color rgb="FF0A3494"/>
      </bottom>
      <diagonal/>
    </border>
    <border>
      <left/>
      <right/>
      <top style="thin">
        <color theme="0"/>
      </top>
      <bottom/>
      <diagonal/>
    </border>
    <border>
      <left/>
      <right style="thin">
        <color rgb="FF0A3494"/>
      </right>
      <top style="thin">
        <color theme="0"/>
      </top>
      <bottom/>
      <diagonal/>
    </border>
  </borders>
  <cellStyleXfs count="3">
    <xf numFmtId="0" fontId="1" fillId="0" borderId="0"/>
    <xf numFmtId="9" fontId="1" fillId="0" borderId="0"/>
    <xf numFmtId="0" fontId="19" fillId="0" borderId="0"/>
  </cellStyleXfs>
  <cellXfs count="5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14" fontId="3" fillId="2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" fontId="3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/>
    </xf>
    <xf numFmtId="164" fontId="6" fillId="3" borderId="0" applyAlignment="1" pivotButton="0" quotePrefix="0" xfId="0">
      <alignment horizontal="center" vertical="center"/>
    </xf>
    <xf numFmtId="1" fontId="6" fillId="3" borderId="0" applyAlignment="1" pivotButton="0" quotePrefix="0" xfId="0">
      <alignment horizontal="center" vertical="center"/>
    </xf>
    <xf numFmtId="9" fontId="3" fillId="2" borderId="0" applyAlignment="1" pivotButton="0" quotePrefix="0" xfId="1">
      <alignment horizontal="center" vertical="center"/>
    </xf>
    <xf numFmtId="0" fontId="7" fillId="0" borderId="0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12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9" fontId="14" fillId="0" borderId="4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22" fillId="0" borderId="0" pivotButton="0" quotePrefix="0" xfId="0"/>
    <xf numFmtId="0" fontId="24" fillId="0" borderId="0" pivotButton="0" quotePrefix="0" xfId="0"/>
    <xf numFmtId="0" fontId="0" fillId="0" borderId="0" pivotButton="0" quotePrefix="0" xfId="0"/>
    <xf numFmtId="0" fontId="2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2">
      <alignment horizontal="center"/>
    </xf>
    <xf numFmtId="0" fontId="0" fillId="0" borderId="0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164" fontId="3" fillId="0" borderId="0" applyAlignment="1" pivotButton="0" quotePrefix="0" xfId="0">
      <alignment horizontal="center" vertical="center"/>
    </xf>
    <xf numFmtId="164" fontId="6" fillId="3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66" fontId="3" fillId="2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6" fontId="0" fillId="0" borderId="0" pivotButton="0" quotePrefix="0" xfId="0"/>
  </cellXfs>
  <cellStyles count="3">
    <cellStyle name="Normal" xfId="0" builtinId="0"/>
    <cellStyle name="Percent" xfId="1" builtinId="5"/>
    <cellStyle name="Hyperlink" xfId="2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Spot To Go - Project Schedule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'Task Table'!C1</f>
            </strRef>
          </tx>
          <spPr>
            <a:noFill xmlns:a="http://schemas.openxmlformats.org/drawingml/2006/main"/>
          </spPr>
          <cat>
            <numRef>
              <f>'Task Table'!$B$2:$B$29</f>
            </numRef>
          </cat>
          <val>
            <numRef>
              <f>'Task Table'!$C$2:$C$29</f>
            </numRef>
          </val>
        </ser>
        <ser>
          <idx val="1"/>
          <order val="1"/>
          <tx>
            <strRef>
              <f>'Task Table'!G1</f>
            </strRef>
          </tx>
          <spPr>
            <a:solidFill xmlns:a="http://schemas.openxmlformats.org/drawingml/2006/main">
              <a:srgbClr val="007B82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5A5A5A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5A5A5A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5A5A5A"/>
              </a:solidFill>
              <a:ln xmlns:a="http://schemas.openxmlformats.org/drawingml/2006/main"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5A5A5A"/>
              </a:solidFill>
              <a:ln xmlns:a="http://schemas.openxmlformats.org/drawingml/2006/main">
                <a:prstDash val="solid"/>
              </a:ln>
            </spPr>
          </dPt>
          <dPt>
            <idx val="17"/>
            <spPr>
              <a:solidFill xmlns:a="http://schemas.openxmlformats.org/drawingml/2006/main">
                <a:srgbClr val="5A5A5A"/>
              </a:solidFill>
              <a:ln xmlns:a="http://schemas.openxmlformats.org/drawingml/2006/main">
                <a:prstDash val="solid"/>
              </a:ln>
            </spPr>
          </dPt>
          <dPt>
            <idx val="21"/>
            <spPr>
              <a:solidFill xmlns:a="http://schemas.openxmlformats.org/drawingml/2006/main">
                <a:srgbClr val="5A5A5A"/>
              </a:solidFill>
              <a:ln xmlns:a="http://schemas.openxmlformats.org/drawingml/2006/main">
                <a:prstDash val="solid"/>
              </a:ln>
            </spPr>
          </dPt>
          <dPt>
            <idx val="25"/>
            <spPr>
              <a:solidFill xmlns:a="http://schemas.openxmlformats.org/drawingml/2006/main">
                <a:srgbClr val="5A5A5A"/>
              </a:solidFill>
              <a:ln xmlns:a="http://schemas.openxmlformats.org/drawingml/2006/main">
                <a:prstDash val="solid"/>
              </a:ln>
            </spPr>
          </dPt>
          <cat>
            <numRef>
              <f>'Task Table'!$B$2:$B$29</f>
            </numRef>
          </cat>
          <val>
            <numRef>
              <f>'Task Table'!$G$2:$G$29</f>
            </numRef>
          </val>
        </ser>
        <ser>
          <idx val="2"/>
          <order val="2"/>
          <tx>
            <strRef>
              <f>'Task Table'!H1</f>
            </strRef>
          </tx>
          <spPr>
            <a:solidFill xmlns:a="http://schemas.openxmlformats.org/drawingml/2006/main">
              <a:srgbClr val="C9C9C9"/>
            </a:solidFill>
            <a:ln xmlns:a="http://schemas.openxmlformats.org/drawingml/2006/main">
              <a:prstDash val="solid"/>
            </a:ln>
          </spPr>
          <cat>
            <numRef>
              <f>'Task Table'!$B$2:$B$29</f>
            </numRef>
          </cat>
          <val>
            <numRef>
              <f>'Task Table'!$H$2:$H$29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numFmt formatCode="m/d/yy" sourceLinked="0"/>
        <majorTickMark val="none"/>
        <minorTickMark val="none"/>
        <crossAx val="100"/>
        <lblOffset val="100"/>
      </catAx>
      <valAx>
        <axId val="100"/>
        <scaling>
          <orientation val="maxMin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Microsoft Office User</author>
  </authors>
  <commentList>
    <comment ref="A4" authorId="0" shapeId="0">
      <text>
        <t>Formula:
=MAX(EndDateColumn) - MIN(StartDateColumn) + 1 (total calendar days across the project)</t>
      </text>
    </comment>
    <comment ref="B4" authorId="0" shapeId="0">
      <text>
        <t>Formula:
=AVERAGE(SelectedTaskPercentCompleteCells) (average % complete across task rows only; group rows are excluded)</t>
      </text>
    </comment>
    <comment ref="C4" authorId="0" shapeId="0">
      <text>
        <t xml:space="preserve">Formula:
=MAX(0, MAX(EndDateColumn) - TODAY()) (calendar days left until project end; shows 0 if overdue)
</t>
      </text>
    </comment>
    <comment ref="A7" authorId="0" shapeId="0">
      <text>
        <t>Formula:
=COUNTIF(PercentCompleteColumn,1) (counts tasks at 100% complete)</t>
      </text>
    </comment>
    <comment ref="B7" authorId="0" shapeId="0">
      <text>
        <t>Formula:
=COUNTIFS(PercentCompleteColumn,"&gt;0",PercentCompleteColumn,"&lt;1") (counts tasks with partial progress)</t>
      </text>
    </comment>
    <comment ref="C7" authorId="0" shapeId="0">
      <text>
        <t>Formula:
=SUMPRODUCT(((%CompleteRange=0)+(%CompleteRange="")&gt;0)*(ISNUMBER(SEARCH(".",WBSRange&amp;"")))) (counts tasks at 0% complete or blank; excludes group rows by only counting WBS numbers with decimals)</t>
      </text>
    </comment>
  </commentList>
</comments>
</file>

<file path=xl/comments/comment2.xml><?xml version="1.0" encoding="utf-8"?>
<comments xmlns="http://schemas.openxmlformats.org/spreadsheetml/2006/main">
  <authors>
    <author>Microsoft Office User</author>
  </authors>
  <commentList>
    <comment ref="E1" authorId="0" shapeId="0">
      <text>
        <t>Formula: 
=End Date - Start Date + 1 (counts both start and end dates)</t>
      </text>
    </comment>
    <comment ref="F1" authorId="0" shapeId="0">
      <text>
        <t xml:space="preserve">Note:
For group rows, either leave at 0% (simpler, for structure only) or use a weighted average formula to calculate progress across all tasks in the group.
Weighted average formula:
=SUMPRODUCT(DurationRange, PercentCompleteRange) / SUM(DurationRange)
</t>
      </text>
    </comment>
    <comment ref="G1" authorId="0" shapeId="0">
      <text>
        <t>Formula:
=Duration * %Complete (portion of task finished)</t>
      </text>
    </comment>
    <comment ref="H1" authorId="0" shapeId="0">
      <text>
        <t>Formula:
=Duration - Completed (days still left to finish)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2240000" cy="79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teamgantt.com/free-gantt-chart-excel-template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33"/>
  <sheetViews>
    <sheetView workbookViewId="0">
      <selection activeCell="F14" sqref="F14"/>
    </sheetView>
  </sheetViews>
  <sheetFormatPr baseColWidth="10" defaultRowHeight="18"/>
  <cols>
    <col width="91.6640625" customWidth="1" style="35" min="1" max="1"/>
    <col width="55.1640625" customWidth="1" style="36" min="2" max="2"/>
  </cols>
  <sheetData>
    <row r="1" ht="95" customHeight="1" s="36"/>
    <row r="2" ht="42" customFormat="1" customHeight="1" s="47">
      <c r="A2" s="37" t="inlineStr">
        <is>
          <t>How to Use This Gantt Chart Template</t>
        </is>
      </c>
      <c r="B2" s="45" t="inlineStr">
        <is>
          <t>For detailed instructions, visit our full guide:</t>
        </is>
      </c>
    </row>
    <row r="3" ht="20" customHeight="1" s="36">
      <c r="A3" s="34" t="n"/>
      <c r="B3" s="46" t="inlineStr">
        <is>
          <t xml:space="preserve"> https://www.teamgantt.com/free-gantt-chart-excel-template</t>
        </is>
      </c>
    </row>
    <row r="4" ht="42" customFormat="1" customHeight="1" s="47">
      <c r="A4" s="42" t="inlineStr">
        <is>
          <t>📝 Task Table (enter your project details here)</t>
        </is>
      </c>
      <c r="B4" s="47" t="n"/>
    </row>
    <row r="5" ht="28" customFormat="1" customHeight="1" s="40">
      <c r="A5" s="39" t="inlineStr">
        <is>
          <t>Add each task, phase, or milestone in the Task Table tab.</t>
        </is>
      </c>
    </row>
    <row r="6" ht="28" customFormat="1" customHeight="1" s="40">
      <c r="A6" s="39" t="inlineStr">
        <is>
          <t>Fill in Start Date, End Date, % Complete, Assigned To, and Priority.</t>
        </is>
      </c>
    </row>
    <row r="7" ht="28" customFormat="1" customHeight="1" s="40">
      <c r="A7" s="39" t="inlineStr">
        <is>
          <t>Columns with formulas update automatically:</t>
        </is>
      </c>
    </row>
    <row r="8" ht="28" customFormat="1" customHeight="1" s="40">
      <c r="A8" s="41" t="inlineStr">
        <is>
          <t>✅ Duration = End Date - Start Date + 1</t>
        </is>
      </c>
    </row>
    <row r="9" ht="28" customFormat="1" customHeight="1" s="40">
      <c r="A9" s="41" t="inlineStr">
        <is>
          <t>✅ Completed = Duration * % Complete</t>
        </is>
      </c>
    </row>
    <row r="10" ht="28" customFormat="1" customHeight="1" s="40">
      <c r="A10" s="41" t="inlineStr">
        <is>
          <t>✅ Remaining = Duration - Completed</t>
        </is>
      </c>
    </row>
    <row r="11" ht="28" customFormat="1" customHeight="1" s="40">
      <c r="A11" s="39" t="inlineStr">
        <is>
          <t>Use WBS numbers (1, 1.1, 1.2, etc.) to organize phases and subtasks.</t>
        </is>
      </c>
    </row>
    <row r="12" ht="28" customFormat="1" customHeight="1" s="40">
      <c r="A12" s="39" t="inlineStr">
        <is>
          <t>Leave group rows at 0% Complete so they show as dividers without skewing progress.</t>
        </is>
      </c>
    </row>
    <row r="13" ht="26" customHeight="1" s="36">
      <c r="A13" s="1" t="n"/>
    </row>
    <row r="14" ht="42" customFormat="1" customHeight="1" s="47">
      <c r="A14" s="42" t="inlineStr">
        <is>
          <t>📊 Gantt Chart (visual project timeline)</t>
        </is>
      </c>
    </row>
    <row r="15" ht="28" customFormat="1" customHeight="1" s="40">
      <c r="A15" s="39" t="inlineStr">
        <is>
          <t>The Gantt Chart tab updates automatically as you edit the Task Table.</t>
        </is>
      </c>
    </row>
    <row r="16" ht="28" customFormat="1" customHeight="1" s="40">
      <c r="A16" s="39" t="inlineStr">
        <is>
          <t>Task bars display start and end dates; progress shows inside the bars.</t>
        </is>
      </c>
    </row>
    <row r="17" ht="28" customFormat="1" customHeight="1" s="40">
      <c r="A17" s="39" t="inlineStr">
        <is>
          <t>Keep phase bars neutral (e.g., gray) and milestones gold for clarity.</t>
        </is>
      </c>
    </row>
    <row r="18" ht="28" customFormat="1" customHeight="1" s="47">
      <c r="A18" s="43" t="n"/>
    </row>
    <row r="19" ht="42" customFormat="1" customHeight="1" s="47">
      <c r="A19" s="42" t="inlineStr">
        <is>
          <t>📈 Dashboard (project snapshot)</t>
        </is>
      </c>
    </row>
    <row r="20" ht="28" customFormat="1" customHeight="1" s="40">
      <c r="A20" s="39" t="inlineStr">
        <is>
          <t>The Dashboard tab shows:</t>
        </is>
      </c>
    </row>
    <row r="21" ht="28" customFormat="1" customHeight="1" s="40">
      <c r="A21" s="39" t="inlineStr">
        <is>
          <t>✅ Total project duration</t>
        </is>
      </c>
    </row>
    <row r="22" ht="28" customFormat="1" customHeight="1" s="40">
      <c r="A22" s="39" t="inlineStr">
        <is>
          <t>✅ Overall % completion</t>
        </is>
      </c>
    </row>
    <row r="23" ht="28" customFormat="1" customHeight="1" s="40">
      <c r="A23" s="39" t="inlineStr">
        <is>
          <t>✅ Days remaining</t>
        </is>
      </c>
    </row>
    <row r="24" ht="28" customFormat="1" customHeight="1" s="40">
      <c r="A24" s="39" t="inlineStr">
        <is>
          <t>✅ Task breakdown (not started, in progress, complete)</t>
        </is>
      </c>
    </row>
    <row r="25" ht="28" customFormat="1" customHeight="1" s="40">
      <c r="A25" s="39" t="inlineStr">
        <is>
          <t>Metrics update automatically based on the Task Table.</t>
        </is>
      </c>
    </row>
    <row r="26" ht="28" customFormat="1" customHeight="1" s="40">
      <c r="A26" s="39" t="inlineStr">
        <is>
          <t>“Not started” excludes group rows for accuracy.</t>
        </is>
      </c>
    </row>
    <row r="27" ht="28" customFormat="1" customHeight="1" s="47">
      <c r="A27" s="43" t="n"/>
    </row>
    <row r="28" ht="42" customFormat="1" customHeight="1" s="47">
      <c r="A28" s="42" t="inlineStr">
        <is>
          <t>💡 Tips</t>
        </is>
      </c>
    </row>
    <row r="29" ht="28" customFormat="1" customHeight="1" s="40">
      <c r="A29" s="39" t="inlineStr">
        <is>
          <t>Use Predecessors to note dependencies (by WBS number).</t>
        </is>
      </c>
    </row>
    <row r="30" ht="28" customFormat="1" customHeight="1" s="40">
      <c r="A30" s="39" t="inlineStr">
        <is>
          <t>If the Gantt chart doesn’t print fully:</t>
        </is>
      </c>
    </row>
    <row r="31" ht="28" customFormat="1" customHeight="1" s="40">
      <c r="A31" s="39" t="inlineStr">
        <is>
          <t>1. Go to Page Layout → Print Area → Clear Print Area.</t>
        </is>
      </c>
    </row>
    <row r="32" ht="28" customFormat="1" customHeight="1" s="40">
      <c r="A32" s="39" t="inlineStr">
        <is>
          <t>2. Reset the print area to include your full chart.</t>
        </is>
      </c>
    </row>
    <row r="33" ht="20" customHeight="1" s="36">
      <c r="A33" s="34" t="n"/>
    </row>
  </sheetData>
  <hyperlinks>
    <hyperlink xmlns:r="http://schemas.openxmlformats.org/officeDocument/2006/relationships" ref="B3" r:id="rId1"/>
  </hyperlinks>
  <pageMargins left="0.7" right="0.7" top="0.75" bottom="0.75" header="0.3" footer="0.3"/>
  <pageSetup orientation="portrait" scale="7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selection activeCell="B4" sqref="B4"/>
    </sheetView>
  </sheetViews>
  <sheetFormatPr baseColWidth="10" defaultColWidth="37.1640625" defaultRowHeight="26"/>
  <cols>
    <col width="37.1640625" customWidth="1" style="24" min="1" max="1"/>
    <col width="37.1640625" customWidth="1" style="18" min="2" max="2"/>
    <col width="37.1640625" customWidth="1" style="24" min="3" max="16384"/>
  </cols>
  <sheetData>
    <row r="1" ht="45" customFormat="1" customHeight="1" s="32">
      <c r="A1" s="22" t="inlineStr">
        <is>
          <t>Project: Spot To Go</t>
        </is>
      </c>
    </row>
    <row r="2" ht="34" customFormat="1" customHeight="1" s="32">
      <c r="A2" s="48" t="inlineStr">
        <is>
          <t>Project owner: Nagenthiran Nagarajh</t>
        </is>
      </c>
      <c r="B2" s="49" t="n"/>
      <c r="C2" s="50" t="n"/>
    </row>
    <row r="3" ht="30" customHeight="1" s="36">
      <c r="A3" s="24" t="n"/>
      <c r="B3" s="24" t="n"/>
      <c r="C3" s="24" t="n"/>
    </row>
    <row r="4" ht="34" customFormat="1" customHeight="1" s="32">
      <c r="A4" s="29" t="inlineStr">
        <is>
          <t>Total project duration</t>
        </is>
      </c>
      <c r="B4" s="29" t="inlineStr">
        <is>
          <t>Overall completion</t>
        </is>
      </c>
      <c r="C4" s="29" t="inlineStr">
        <is>
          <t>Days remaining</t>
        </is>
      </c>
    </row>
    <row r="5" ht="34" customFormat="1" customHeight="1" s="32">
      <c r="A5" s="30">
        <f>MAX('Task Table'!D:D) - MIN('Task Table'!C:C)+1</f>
        <v/>
      </c>
      <c r="B5" s="31">
        <f>AVERAGE(F3,F4,F5,F7,F8,F9,F11,F12,F13,F14,F16,F17,F18,F20,F21,F22,F24,F25,F26,F28,F29)</f>
        <v/>
      </c>
      <c r="C5" s="30">
        <f>MAX(0, MAX('Task Table'!D:D) - TODAY())</f>
        <v/>
      </c>
    </row>
    <row r="6" ht="30" customFormat="1" customHeight="1" s="32">
      <c r="A6" s="32" t="n"/>
      <c r="B6" s="32" t="n"/>
      <c r="C6" s="32" t="n"/>
    </row>
    <row r="7" ht="34" customFormat="1" customHeight="1" s="32">
      <c r="A7" s="29" t="inlineStr">
        <is>
          <t>Tasks complete</t>
        </is>
      </c>
      <c r="B7" s="33" t="inlineStr">
        <is>
          <t>Tasks in progress</t>
        </is>
      </c>
      <c r="C7" s="33" t="inlineStr">
        <is>
          <t>Tasks not started</t>
        </is>
      </c>
      <c r="D7" s="32" t="n"/>
    </row>
    <row r="8" ht="34" customFormat="1" customHeight="1" s="32">
      <c r="A8" s="30">
        <f>COUNTIF('Task Table'!F:F,1)</f>
        <v/>
      </c>
      <c r="B8" s="30">
        <f>(COUNTIF('Task Table'!F:F, "&lt;1") - COUNTIF('Task Table'!F:F,0))</f>
        <v/>
      </c>
      <c r="C8" s="30">
        <f t="array" ref="C8">SUMPRODUCT((('Task Table'!F:F=0)+('Task Table'!F:F="")&gt;0)*(ISNUMBER(SEARCH(".",'Task Table'!A:A&amp;""))))</f>
        <v/>
      </c>
    </row>
  </sheetData>
  <mergeCells count="2">
    <mergeCell ref="A1:C1"/>
    <mergeCell ref="A2:C2"/>
  </mergeCells>
  <pageMargins left="0.7" right="0.7" top="0.75" bottom="0.75" header="0.3" footer="0.3"/>
  <pageSetup orientation="landscape" horizontalDpi="0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zoomScale="110" zoomScaleNormal="110" workbookViewId="0">
      <selection activeCell="F8" sqref="F8"/>
    </sheetView>
  </sheetViews>
  <sheetFormatPr baseColWidth="10" defaultRowHeight="26" customHeight="1"/>
  <cols>
    <col width="10.83203125" customWidth="1" style="51" min="1" max="1"/>
    <col width="46.1640625" customWidth="1" style="2" min="2" max="2"/>
    <col width="16" customWidth="1" style="3" min="3" max="6"/>
    <col width="16" customWidth="1" style="11" min="7" max="8"/>
    <col width="16" customWidth="1" style="3" min="9" max="10"/>
    <col width="21" customWidth="1" style="2" min="11" max="11"/>
    <col width="10.83203125" customWidth="1" style="2" min="12" max="16384"/>
  </cols>
  <sheetData>
    <row r="1" ht="26" customHeight="1" s="36">
      <c r="A1" s="52" t="inlineStr">
        <is>
          <t>WBS #</t>
        </is>
      </c>
      <c r="B1" s="13" t="inlineStr">
        <is>
          <t>Task Name</t>
        </is>
      </c>
      <c r="C1" s="14" t="inlineStr">
        <is>
          <t>Start Date</t>
        </is>
      </c>
      <c r="D1" s="14" t="inlineStr">
        <is>
          <t>End Date</t>
        </is>
      </c>
      <c r="E1" s="14" t="inlineStr">
        <is>
          <t>Duration</t>
        </is>
      </c>
      <c r="F1" s="14" t="inlineStr">
        <is>
          <t>% Complete</t>
        </is>
      </c>
      <c r="G1" s="16" t="inlineStr">
        <is>
          <t>Completed</t>
        </is>
      </c>
      <c r="H1" s="16" t="inlineStr">
        <is>
          <t>Remaining</t>
        </is>
      </c>
      <c r="I1" s="14" t="inlineStr">
        <is>
          <t>Assigned To</t>
        </is>
      </c>
      <c r="J1" s="14" t="inlineStr">
        <is>
          <t>Priority</t>
        </is>
      </c>
      <c r="K1" s="14" t="inlineStr">
        <is>
          <t>Predecessor</t>
        </is>
      </c>
    </row>
    <row r="2" ht="26" customHeight="1" s="36">
      <c r="A2" s="53" t="n">
        <v>1</v>
      </c>
      <c r="B2" s="7" t="inlineStr">
        <is>
          <t>WP1: Literature Review</t>
        </is>
      </c>
      <c r="C2" s="54" t="n">
        <v>46139</v>
      </c>
      <c r="D2" s="54" t="n">
        <v>46164</v>
      </c>
      <c r="E2" s="8">
        <f>D2-C2+1</f>
        <v/>
      </c>
      <c r="F2" s="17">
        <f>SUMPRODUCT(E3:E5, F3:F5) / SUM(E3:E5)</f>
        <v/>
      </c>
      <c r="G2" s="12">
        <f>E2*F2</f>
        <v/>
      </c>
      <c r="H2" s="12">
        <f>E2-G2</f>
        <v/>
      </c>
      <c r="I2" s="8" t="n"/>
      <c r="J2" s="8" t="n"/>
      <c r="K2" s="8" t="n"/>
    </row>
    <row r="3" ht="26" customHeight="1" s="36">
      <c r="A3" s="51" t="inlineStr">
        <is>
          <t>1.1</t>
        </is>
      </c>
      <c r="B3" s="2" t="inlineStr">
        <is>
          <t>Requirements &amp; background analysis</t>
        </is>
      </c>
      <c r="C3" s="55" t="n">
        <v>46139</v>
      </c>
      <c r="D3" s="55" t="n">
        <v>46150</v>
      </c>
      <c r="E3" s="11">
        <f>D3-C3+1</f>
        <v/>
      </c>
      <c r="F3" s="5" t="n">
        <v>1</v>
      </c>
      <c r="G3" s="11">
        <f>E3*F3</f>
        <v/>
      </c>
      <c r="H3" s="11">
        <f>E3-G3</f>
        <v/>
      </c>
      <c r="I3" s="3" t="inlineStr">
        <is>
          <t>Nagenthiran Nagarajh</t>
        </is>
      </c>
      <c r="J3" s="3" t="inlineStr">
        <is>
          <t>Medium</t>
        </is>
      </c>
      <c r="K3" s="3" t="n"/>
    </row>
    <row r="4" ht="26" customHeight="1" s="36">
      <c r="A4" s="51" t="inlineStr">
        <is>
          <t>1.2</t>
        </is>
      </c>
      <c r="B4" s="2" t="inlineStr">
        <is>
          <t>Literature review (4 areas)</t>
        </is>
      </c>
      <c r="C4" s="55" t="n">
        <v>46139</v>
      </c>
      <c r="D4" s="55" t="n">
        <v>46157</v>
      </c>
      <c r="E4" s="11">
        <f>D4-C4+1</f>
        <v/>
      </c>
      <c r="F4" s="5" t="n">
        <v>1</v>
      </c>
      <c r="G4" s="11">
        <f>E4*F4</f>
        <v/>
      </c>
      <c r="H4" s="11">
        <f>E4-G4</f>
        <v/>
      </c>
      <c r="I4" s="3" t="inlineStr">
        <is>
          <t>Nagenthiran Nagarajh</t>
        </is>
      </c>
      <c r="J4" s="3" t="inlineStr">
        <is>
          <t>Medium</t>
        </is>
      </c>
      <c r="K4" s="3" t="n"/>
    </row>
    <row r="5" ht="26" customHeight="1" s="36">
      <c r="A5" s="53" t="inlineStr">
        <is>
          <t>1.3</t>
        </is>
      </c>
      <c r="B5" s="7" t="inlineStr">
        <is>
          <t>Proposal writing &amp; submission</t>
        </is>
      </c>
      <c r="C5" s="54" t="n">
        <v>46153</v>
      </c>
      <c r="D5" s="54" t="n">
        <v>46164</v>
      </c>
      <c r="E5" s="12">
        <f>D5-C5+1</f>
        <v/>
      </c>
      <c r="F5" s="17" t="n">
        <v>1</v>
      </c>
      <c r="G5" s="12">
        <f>E5*F5</f>
        <v/>
      </c>
      <c r="H5" s="12">
        <f>E5-G5</f>
        <v/>
      </c>
      <c r="I5" s="8" t="inlineStr">
        <is>
          <t>Nagenthiran Nagarajh</t>
        </is>
      </c>
      <c r="J5" s="8" t="inlineStr">
        <is>
          <t>High</t>
        </is>
      </c>
      <c r="K5" s="8" t="inlineStr">
        <is>
          <t>1.2</t>
        </is>
      </c>
    </row>
    <row r="6" ht="26" customHeight="1" s="36">
      <c r="A6" s="51" t="n">
        <v>2</v>
      </c>
      <c r="B6" s="2" t="inlineStr">
        <is>
          <t>WP2: Setup &amp; Architecture</t>
        </is>
      </c>
      <c r="C6" s="55" t="n">
        <v>46146</v>
      </c>
      <c r="D6" s="55" t="n">
        <v>46171</v>
      </c>
      <c r="E6" s="11">
        <f>D6-C6+1</f>
        <v/>
      </c>
      <c r="F6" s="5">
        <f>SUMPRODUCT(E7:E9, F7:F9) / SUM(E7:E9)</f>
        <v/>
      </c>
      <c r="G6" s="11">
        <f>E6*F6</f>
        <v/>
      </c>
      <c r="H6" s="11">
        <f>E6-G6</f>
        <v/>
      </c>
      <c r="I6" s="3" t="n"/>
      <c r="J6" s="3" t="n"/>
      <c r="K6" s="3" t="n"/>
    </row>
    <row r="7" ht="26" customHeight="1" s="36">
      <c r="A7" s="51" t="inlineStr">
        <is>
          <t>2.1</t>
        </is>
      </c>
      <c r="B7" s="2" t="inlineStr">
        <is>
          <t>Android Studio project scaffold</t>
        </is>
      </c>
      <c r="C7" s="55" t="n">
        <v>46146</v>
      </c>
      <c r="D7" s="55" t="n">
        <v>46157</v>
      </c>
      <c r="E7" s="11">
        <f>D7-C7+1</f>
        <v/>
      </c>
      <c r="F7" s="5" t="n">
        <v>1</v>
      </c>
      <c r="G7" s="11">
        <f>E7*F7</f>
        <v/>
      </c>
      <c r="H7" s="11">
        <f>E7-G7</f>
        <v/>
      </c>
      <c r="I7" s="3" t="inlineStr">
        <is>
          <t>Nagenthiran Nagarajh</t>
        </is>
      </c>
      <c r="J7" s="3" t="inlineStr">
        <is>
          <t>Medium</t>
        </is>
      </c>
      <c r="K7" s="3" t="n"/>
    </row>
    <row r="8" ht="26" customHeight="1" s="36">
      <c r="A8" s="51" t="inlineStr">
        <is>
          <t>2.2</t>
        </is>
      </c>
      <c r="B8" s="6" t="inlineStr">
        <is>
          <t>Dependency &amp; Gradle configuration</t>
        </is>
      </c>
      <c r="C8" s="55" t="n">
        <v>46153</v>
      </c>
      <c r="D8" s="55" t="n">
        <v>46164</v>
      </c>
      <c r="E8" s="11">
        <f>D8-C8+1</f>
        <v/>
      </c>
      <c r="F8" s="5" t="n">
        <v>1</v>
      </c>
      <c r="G8" s="11">
        <f>E8*F8</f>
        <v/>
      </c>
      <c r="H8" s="11">
        <f>E8-G8</f>
        <v/>
      </c>
      <c r="I8" s="3" t="inlineStr">
        <is>
          <t>Nagenthiran Nagarajh</t>
        </is>
      </c>
      <c r="J8" s="3" t="inlineStr">
        <is>
          <t>Medium</t>
        </is>
      </c>
      <c r="K8" s="3" t="inlineStr">
        <is>
          <t>2.1</t>
        </is>
      </c>
    </row>
    <row r="9" ht="26" customHeight="1" s="36">
      <c r="A9" s="53" t="inlineStr">
        <is>
          <t>2.3</t>
        </is>
      </c>
      <c r="B9" s="7" t="inlineStr">
        <is>
          <t>API keys &amp; Cloud Console setup</t>
        </is>
      </c>
      <c r="C9" s="54" t="n">
        <v>46153</v>
      </c>
      <c r="D9" s="54" t="n">
        <v>46171</v>
      </c>
      <c r="E9" s="12">
        <f>D9-C9+1</f>
        <v/>
      </c>
      <c r="F9" s="17" t="n">
        <v>1</v>
      </c>
      <c r="G9" s="12">
        <f>E9*F9</f>
        <v/>
      </c>
      <c r="H9" s="12">
        <f>E9-G9</f>
        <v/>
      </c>
      <c r="I9" s="8" t="inlineStr">
        <is>
          <t>Nagenthiran Nagarajh</t>
        </is>
      </c>
      <c r="J9" s="8" t="inlineStr">
        <is>
          <t>High</t>
        </is>
      </c>
      <c r="K9" s="8" t="inlineStr">
        <is>
          <t>2.1</t>
        </is>
      </c>
    </row>
    <row r="10" ht="26" customHeight="1" s="36">
      <c r="A10" s="51" t="n">
        <v>3</v>
      </c>
      <c r="B10" s="2" t="inlineStr">
        <is>
          <t>WP3: Maps &amp; Location</t>
        </is>
      </c>
      <c r="C10" s="55" t="n">
        <v>46167</v>
      </c>
      <c r="D10" s="55" t="n">
        <v>46206</v>
      </c>
      <c r="E10" s="11">
        <f>D10-C10+1</f>
        <v/>
      </c>
      <c r="F10" s="5">
        <f>SUMPRODUCT(E11:E14, F11:F14) / SUM(E11:E14)</f>
        <v/>
      </c>
      <c r="G10" s="11">
        <f>E10*F10</f>
        <v/>
      </c>
      <c r="H10" s="11">
        <f>E10-G10</f>
        <v/>
      </c>
      <c r="I10" s="3" t="n"/>
      <c r="J10" s="3" t="n"/>
      <c r="K10" s="3" t="n"/>
    </row>
    <row r="11" ht="26" customHeight="1" s="36">
      <c r="A11" s="51" t="inlineStr">
        <is>
          <t>3.1</t>
        </is>
      </c>
      <c r="B11" s="2" t="inlineStr">
        <is>
          <t>Google Map integration &amp; GPS centring</t>
        </is>
      </c>
      <c r="C11" s="55" t="n">
        <v>46167</v>
      </c>
      <c r="D11" s="55" t="n">
        <v>46185</v>
      </c>
      <c r="E11" s="11">
        <f>D11-C11+1</f>
        <v/>
      </c>
      <c r="F11" s="5" t="n">
        <v>1</v>
      </c>
      <c r="G11" s="11">
        <f>E11*F11</f>
        <v/>
      </c>
      <c r="H11" s="11">
        <f>E11-G11</f>
        <v/>
      </c>
      <c r="I11" s="3" t="inlineStr">
        <is>
          <t>Nagenthiran Nagarajh</t>
        </is>
      </c>
      <c r="J11" s="3" t="inlineStr">
        <is>
          <t>Medium</t>
        </is>
      </c>
      <c r="K11" s="3" t="n"/>
    </row>
    <row r="12" ht="26" customHeight="1" s="36">
      <c r="A12" s="51" t="inlineStr">
        <is>
          <t>3.2</t>
        </is>
      </c>
      <c r="B12" s="6" t="inlineStr">
        <is>
          <t>Restaurant markers (seed data)</t>
        </is>
      </c>
      <c r="C12" s="55" t="n">
        <v>46174</v>
      </c>
      <c r="D12" s="55" t="n">
        <v>46192</v>
      </c>
      <c r="E12" s="11">
        <f>D12-C12+1</f>
        <v/>
      </c>
      <c r="F12" s="5" t="n">
        <v>1</v>
      </c>
      <c r="G12" s="11">
        <f>E12*F12</f>
        <v/>
      </c>
      <c r="H12" s="11">
        <f>E12-G12</f>
        <v/>
      </c>
      <c r="I12" s="3" t="inlineStr">
        <is>
          <t>Nagenthiran Nagarajh</t>
        </is>
      </c>
      <c r="J12" s="3" t="inlineStr">
        <is>
          <t>Medium</t>
        </is>
      </c>
      <c r="K12" s="3" t="inlineStr">
        <is>
          <t>3.1</t>
        </is>
      </c>
    </row>
    <row r="13">
      <c r="A13" t="inlineStr">
        <is>
          <t>3.3</t>
        </is>
      </c>
      <c r="B13" t="inlineStr">
        <is>
          <t>Location permission handling</t>
        </is>
      </c>
      <c r="C13" s="56" t="n">
        <v>46181</v>
      </c>
      <c r="D13" s="56" t="n">
        <v>46192</v>
      </c>
      <c r="E13">
        <f>D13-C13+1</f>
        <v/>
      </c>
      <c r="F13" t="n">
        <v>1</v>
      </c>
      <c r="G13">
        <f>E13*F13</f>
        <v/>
      </c>
      <c r="H13">
        <f>E13-G13</f>
        <v/>
      </c>
      <c r="I13" t="inlineStr">
        <is>
          <t>Nagenthiran Nagarajh</t>
        </is>
      </c>
      <c r="J13" t="inlineStr">
        <is>
          <t>Medium</t>
        </is>
      </c>
      <c r="K13" t="inlineStr">
        <is>
          <t>3.1</t>
        </is>
      </c>
    </row>
    <row r="14">
      <c r="A14" t="inlineStr">
        <is>
          <t>3.4</t>
        </is>
      </c>
      <c r="B14" t="inlineStr">
        <is>
          <t>Firebase Authentication (login/register)</t>
        </is>
      </c>
      <c r="C14" s="56" t="n">
        <v>46188</v>
      </c>
      <c r="D14" s="56" t="n">
        <v>46206</v>
      </c>
      <c r="E14">
        <f>D14-C14+1</f>
        <v/>
      </c>
      <c r="F14" t="n">
        <v>1</v>
      </c>
      <c r="G14">
        <f>E14*F14</f>
        <v/>
      </c>
      <c r="H14">
        <f>E14-G14</f>
        <v/>
      </c>
      <c r="I14" t="inlineStr">
        <is>
          <t>Nagenthiran Nagarajh</t>
        </is>
      </c>
      <c r="J14" t="inlineStr">
        <is>
          <t>High</t>
        </is>
      </c>
      <c r="K14" t="inlineStr">
        <is>
          <t>3.3</t>
        </is>
      </c>
    </row>
    <row r="15">
      <c r="A15" t="n">
        <v>4</v>
      </c>
      <c r="B15" t="inlineStr">
        <is>
          <t>WP4: Detail &amp; Video</t>
        </is>
      </c>
      <c r="C15" s="56" t="n">
        <v>46195</v>
      </c>
      <c r="D15" s="56" t="n">
        <v>46220</v>
      </c>
      <c r="E15">
        <f>D15-C15+1</f>
        <v/>
      </c>
      <c r="F15">
        <f>SUMPRODUCT(E16:E18, F16:F18) / SUM(E16:E18)</f>
        <v/>
      </c>
      <c r="G15">
        <f>E15*F15</f>
        <v/>
      </c>
      <c r="H15">
        <f>E15-G15</f>
        <v/>
      </c>
    </row>
    <row r="16">
      <c r="A16" t="inlineStr">
        <is>
          <t>4.1</t>
        </is>
      </c>
      <c r="B16" t="inlineStr">
        <is>
          <t>Restaurant detail screen</t>
        </is>
      </c>
      <c r="C16" s="56" t="n">
        <v>46195</v>
      </c>
      <c r="D16" s="56" t="n">
        <v>46206</v>
      </c>
      <c r="E16">
        <f>D16-C16+1</f>
        <v/>
      </c>
      <c r="F16" t="n">
        <v>1</v>
      </c>
      <c r="G16">
        <f>E16*F16</f>
        <v/>
      </c>
      <c r="H16">
        <f>E16-G16</f>
        <v/>
      </c>
      <c r="I16" t="inlineStr">
        <is>
          <t>Nagenthiran Nagarajh</t>
        </is>
      </c>
      <c r="J16" t="inlineStr">
        <is>
          <t>Medium</t>
        </is>
      </c>
    </row>
    <row r="17">
      <c r="A17" t="inlineStr">
        <is>
          <t>4.2</t>
        </is>
      </c>
      <c r="B17" t="inlineStr">
        <is>
          <t>Video screen &amp; YouTube intent</t>
        </is>
      </c>
      <c r="C17" s="56" t="n">
        <v>46202</v>
      </c>
      <c r="D17" s="56" t="n">
        <v>46213</v>
      </c>
      <c r="E17">
        <f>D17-C17+1</f>
        <v/>
      </c>
      <c r="F17" t="n">
        <v>1</v>
      </c>
      <c r="G17">
        <f>E17*F17</f>
        <v/>
      </c>
      <c r="H17">
        <f>E17-G17</f>
        <v/>
      </c>
      <c r="I17" t="inlineStr">
        <is>
          <t>Nagenthiran Nagarajh</t>
        </is>
      </c>
      <c r="J17" t="inlineStr">
        <is>
          <t>Medium</t>
        </is>
      </c>
      <c r="K17" t="inlineStr">
        <is>
          <t>4.1</t>
        </is>
      </c>
    </row>
    <row r="18">
      <c r="A18" t="inlineStr">
        <is>
          <t>4.3</t>
        </is>
      </c>
      <c r="B18" t="inlineStr">
        <is>
          <t>Directions screen &amp; Maps intent</t>
        </is>
      </c>
      <c r="C18" s="56" t="n">
        <v>46209</v>
      </c>
      <c r="D18" s="56" t="n">
        <v>46220</v>
      </c>
      <c r="E18">
        <f>D18-C18+1</f>
        <v/>
      </c>
      <c r="F18" t="n">
        <v>1</v>
      </c>
      <c r="G18">
        <f>E18*F18</f>
        <v/>
      </c>
      <c r="H18">
        <f>E18-G18</f>
        <v/>
      </c>
      <c r="I18" t="inlineStr">
        <is>
          <t>Nagenthiran Nagarajh</t>
        </is>
      </c>
      <c r="J18" t="inlineStr">
        <is>
          <t>Medium</t>
        </is>
      </c>
      <c r="K18" t="inlineStr">
        <is>
          <t>4.2</t>
        </is>
      </c>
    </row>
    <row r="19">
      <c r="A19" t="n">
        <v>5</v>
      </c>
      <c r="B19" t="inlineStr">
        <is>
          <t>WP5: Search &amp; UI Polish</t>
        </is>
      </c>
      <c r="C19" s="56" t="n">
        <v>46209</v>
      </c>
      <c r="D19" s="56" t="n">
        <v>46234</v>
      </c>
      <c r="E19">
        <f>D19-C19+1</f>
        <v/>
      </c>
      <c r="F19">
        <f>SUMPRODUCT(E20:E22, F20:F22) / SUM(E20:E22)</f>
        <v/>
      </c>
      <c r="G19">
        <f>E19*F19</f>
        <v/>
      </c>
      <c r="H19">
        <f>E19-G19</f>
        <v/>
      </c>
    </row>
    <row r="20">
      <c r="A20" t="inlineStr">
        <is>
          <t>5.1</t>
        </is>
      </c>
      <c r="B20" t="inlineStr">
        <is>
          <t>Keyword search bar</t>
        </is>
      </c>
      <c r="C20" s="56" t="n">
        <v>46209</v>
      </c>
      <c r="D20" s="56" t="n">
        <v>46220</v>
      </c>
      <c r="E20">
        <f>D20-C20+1</f>
        <v/>
      </c>
      <c r="F20" t="n">
        <v>1</v>
      </c>
      <c r="G20">
        <f>E20*F20</f>
        <v/>
      </c>
      <c r="H20">
        <f>E20-G20</f>
        <v/>
      </c>
      <c r="I20" t="inlineStr">
        <is>
          <t>Nagenthiran Nagarajh</t>
        </is>
      </c>
      <c r="J20" t="inlineStr">
        <is>
          <t>Medium</t>
        </is>
      </c>
    </row>
    <row r="21">
      <c r="A21" t="inlineStr">
        <is>
          <t>5.2</t>
        </is>
      </c>
      <c r="B21" t="inlineStr">
        <is>
          <t>Gemini AI natural-language search</t>
        </is>
      </c>
      <c r="C21" s="56" t="n">
        <v>46216</v>
      </c>
      <c r="D21" s="56" t="n">
        <v>46227</v>
      </c>
      <c r="E21">
        <f>D21-C21+1</f>
        <v/>
      </c>
      <c r="F21" t="n">
        <v>1</v>
      </c>
      <c r="G21">
        <f>E21*F21</f>
        <v/>
      </c>
      <c r="H21">
        <f>E21-G21</f>
        <v/>
      </c>
      <c r="I21" t="inlineStr">
        <is>
          <t>Nagenthiran Nagarajh</t>
        </is>
      </c>
      <c r="J21" t="inlineStr">
        <is>
          <t>Medium</t>
        </is>
      </c>
      <c r="K21" t="inlineStr">
        <is>
          <t>5.1</t>
        </is>
      </c>
    </row>
    <row r="22">
      <c r="A22" t="inlineStr">
        <is>
          <t>5.3</t>
        </is>
      </c>
      <c r="B22" t="inlineStr">
        <is>
          <t>Bottom navigation &amp; UI fixes</t>
        </is>
      </c>
      <c r="C22" s="56" t="n">
        <v>46223</v>
      </c>
      <c r="D22" s="56" t="n">
        <v>46234</v>
      </c>
      <c r="E22">
        <f>D22-C22+1</f>
        <v/>
      </c>
      <c r="F22" t="n">
        <v>1</v>
      </c>
      <c r="G22">
        <f>E22*F22</f>
        <v/>
      </c>
      <c r="H22">
        <f>E22-G22</f>
        <v/>
      </c>
      <c r="I22" t="inlineStr">
        <is>
          <t>Nagenthiran Nagarajh</t>
        </is>
      </c>
      <c r="J22" t="inlineStr">
        <is>
          <t>Medium</t>
        </is>
      </c>
      <c r="K22" t="inlineStr">
        <is>
          <t>5.2</t>
        </is>
      </c>
    </row>
    <row r="23">
      <c r="A23" t="n">
        <v>6</v>
      </c>
      <c r="B23" t="inlineStr">
        <is>
          <t>WP6: Testing &amp; Writing</t>
        </is>
      </c>
      <c r="C23" s="56" t="n">
        <v>46223</v>
      </c>
      <c r="D23" s="56" t="n">
        <v>46248</v>
      </c>
      <c r="E23">
        <f>D23-C23+1</f>
        <v/>
      </c>
      <c r="F23">
        <f>SUMPRODUCT(E24:E26, F24:F26) / SUM(E24:E26)</f>
        <v/>
      </c>
      <c r="G23">
        <f>E23*F23</f>
        <v/>
      </c>
      <c r="H23">
        <f>E23-G23</f>
        <v/>
      </c>
    </row>
    <row r="24">
      <c r="A24" t="inlineStr">
        <is>
          <t>6.1</t>
        </is>
      </c>
      <c r="B24" t="inlineStr">
        <is>
          <t>Manual functional testing &amp; bug fixes</t>
        </is>
      </c>
      <c r="C24" s="56" t="n">
        <v>46223</v>
      </c>
      <c r="D24" s="56" t="n">
        <v>46241</v>
      </c>
      <c r="E24">
        <f>D24-C24+1</f>
        <v/>
      </c>
      <c r="F24" t="n">
        <v>1</v>
      </c>
      <c r="G24">
        <f>E24*F24</f>
        <v/>
      </c>
      <c r="H24">
        <f>E24-G24</f>
        <v/>
      </c>
      <c r="I24" t="inlineStr">
        <is>
          <t>Nagenthiran Nagarajh</t>
        </is>
      </c>
      <c r="J24" t="inlineStr">
        <is>
          <t>High</t>
        </is>
      </c>
    </row>
    <row r="25">
      <c r="A25" t="inlineStr">
        <is>
          <t>6.2</t>
        </is>
      </c>
      <c r="B25" t="inlineStr">
        <is>
          <t>Usability heuristic review</t>
        </is>
      </c>
      <c r="C25" s="56" t="n">
        <v>46230</v>
      </c>
      <c r="D25" s="56" t="n">
        <v>46241</v>
      </c>
      <c r="E25">
        <f>D25-C25+1</f>
        <v/>
      </c>
      <c r="F25" t="n">
        <v>1</v>
      </c>
      <c r="G25">
        <f>E25*F25</f>
        <v/>
      </c>
      <c r="H25">
        <f>E25-G25</f>
        <v/>
      </c>
      <c r="I25" t="inlineStr">
        <is>
          <t>Nagenthiran Nagarajh</t>
        </is>
      </c>
      <c r="J25" t="inlineStr">
        <is>
          <t>Medium</t>
        </is>
      </c>
      <c r="K25" t="inlineStr">
        <is>
          <t>6.1</t>
        </is>
      </c>
    </row>
    <row r="26">
      <c r="A26" t="inlineStr">
        <is>
          <t>6.3</t>
        </is>
      </c>
      <c r="B26" t="inlineStr">
        <is>
          <t>Final report writing</t>
        </is>
      </c>
      <c r="C26" s="56" t="n">
        <v>46230</v>
      </c>
      <c r="D26" s="56" t="n">
        <v>46248</v>
      </c>
      <c r="E26">
        <f>D26-C26+1</f>
        <v/>
      </c>
      <c r="F26" t="n">
        <v>1</v>
      </c>
      <c r="G26">
        <f>E26*F26</f>
        <v/>
      </c>
      <c r="H26">
        <f>E26-G26</f>
        <v/>
      </c>
      <c r="I26" t="inlineStr">
        <is>
          <t>Nagenthiran Nagarajh</t>
        </is>
      </c>
      <c r="J26" t="inlineStr">
        <is>
          <t>High</t>
        </is>
      </c>
      <c r="K26" t="inlineStr">
        <is>
          <t>6.1</t>
        </is>
      </c>
    </row>
    <row r="27">
      <c r="A27" t="n">
        <v>7</v>
      </c>
      <c r="B27" t="inlineStr">
        <is>
          <t>WP7: Report &amp; Presentation</t>
        </is>
      </c>
      <c r="C27" s="56" t="n">
        <v>46244</v>
      </c>
      <c r="D27" s="56" t="n">
        <v>46255</v>
      </c>
      <c r="E27">
        <f>D27-C27+1</f>
        <v/>
      </c>
      <c r="F27">
        <f>SUMPRODUCT(E28:E29, F28:F29) / SUM(E28:E29)</f>
        <v/>
      </c>
      <c r="G27">
        <f>E27*F27</f>
        <v/>
      </c>
      <c r="H27">
        <f>E27-G27</f>
        <v/>
      </c>
    </row>
    <row r="28">
      <c r="A28" t="inlineStr">
        <is>
          <t>7.1</t>
        </is>
      </c>
      <c r="B28" t="inlineStr">
        <is>
          <t>Report review &amp; polish</t>
        </is>
      </c>
      <c r="C28" s="56" t="n">
        <v>46244</v>
      </c>
      <c r="D28" s="56" t="n">
        <v>46255</v>
      </c>
      <c r="E28">
        <f>D28-C28+1</f>
        <v/>
      </c>
      <c r="F28" t="n">
        <v>1</v>
      </c>
      <c r="G28">
        <f>E28*F28</f>
        <v/>
      </c>
      <c r="H28">
        <f>E28-G28</f>
        <v/>
      </c>
      <c r="I28" t="inlineStr">
        <is>
          <t>Nagenthiran Nagarajh</t>
        </is>
      </c>
      <c r="J28" t="inlineStr">
        <is>
          <t>High</t>
        </is>
      </c>
    </row>
    <row r="29">
      <c r="A29" t="inlineStr">
        <is>
          <t>7.2</t>
        </is>
      </c>
      <c r="B29" t="inlineStr">
        <is>
          <t>Presentation preparation</t>
        </is>
      </c>
      <c r="C29" s="56" t="n">
        <v>46244</v>
      </c>
      <c r="D29" s="56" t="n">
        <v>46255</v>
      </c>
      <c r="E29">
        <f>D29-C29+1</f>
        <v/>
      </c>
      <c r="F29" t="n">
        <v>1</v>
      </c>
      <c r="G29">
        <f>E29*F29</f>
        <v/>
      </c>
      <c r="H29">
        <f>E29-G29</f>
        <v/>
      </c>
      <c r="I29" t="inlineStr">
        <is>
          <t>Nagenthiran Nagarajh</t>
        </is>
      </c>
      <c r="J29" t="inlineStr">
        <is>
          <t>High</t>
        </is>
      </c>
    </row>
  </sheetData>
  <conditionalFormatting sqref="F3:F4 F6:F8 F10:F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landscape" scale="55" horizontalDpi="0" verticalDpi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tabSelected="1" zoomScaleNormal="100" workbookViewId="0">
      <selection activeCell="S33" sqref="S33"/>
    </sheetView>
  </sheetViews>
  <sheetFormatPr baseColWidth="10" defaultRowHeight="16"/>
  <sheetData/>
  <pageMargins left="0.7" right="0.7" top="0.75" bottom="0.75" header="0.3" footer="0.3"/>
  <pageSetup orientation="landscape" scale="62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Laura LaPrad</dc:creator>
  <dcterms:created xmlns:dcterms="http://purl.org/dc/terms/" xmlns:xsi="http://www.w3.org/2001/XMLSchema-instance" xsi:type="dcterms:W3CDTF">2025-09-04T01:26:07Z</dcterms:created>
  <dcterms:modified xmlns:dcterms="http://purl.org/dc/terms/" xmlns:xsi="http://www.w3.org/2001/XMLSchema-instance" xsi:type="dcterms:W3CDTF">2026-08-19T06:29:36Z</dcterms:modified>
  <cp:lastModifiedBy>Laura LaPrad</cp:lastModifiedBy>
  <cp:lastPrinted>2025-09-08T01:26:07Z</cp:lastPrinted>
</cp:coreProperties>
</file>